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5270" windowHeight="3870" tabRatio="893" firstSheet="0" activeTab="1" autoFilterDateGrouping="1"/>
  </bookViews>
  <sheets>
    <sheet xmlns:r="http://schemas.openxmlformats.org/officeDocument/2006/relationships" name="BDCAPAINFORME8D" sheetId="1" state="visible" r:id="rId1"/>
    <sheet xmlns:r="http://schemas.openxmlformats.org/officeDocument/2006/relationships" name="BDCAPA" sheetId="2" state="visible" r:id="rId2"/>
    <sheet xmlns:r="http://schemas.openxmlformats.org/officeDocument/2006/relationships" name="FORMATO8D" sheetId="3" state="visible" r:id="rId3"/>
    <sheet xmlns:r="http://schemas.openxmlformats.org/officeDocument/2006/relationships" name="Datos" sheetId="4" state="visible" r:id="rId4"/>
    <sheet xmlns:r="http://schemas.openxmlformats.org/officeDocument/2006/relationships" name="ClasCausaRaíz" sheetId="5" state="visible" r:id="rId5"/>
    <sheet xmlns:r="http://schemas.openxmlformats.org/officeDocument/2006/relationships" name="ClasAccionContención" sheetId="6" state="visible" r:id="rId6"/>
    <sheet xmlns:r="http://schemas.openxmlformats.org/officeDocument/2006/relationships" name="ClasAccionCorrectivo" sheetId="7" state="visible" r:id="rId7"/>
  </sheets>
  <definedNames/>
  <calcPr calcId="191029" fullCalcOnLoad="1"/>
</workbook>
</file>

<file path=xl/styles.xml><?xml version="1.0" encoding="utf-8"?>
<styleSheet xmlns="http://schemas.openxmlformats.org/spreadsheetml/2006/main">
  <numFmts count="6">
    <numFmt numFmtId="164" formatCode="#,##0.00\ &quot;€&quot;"/>
    <numFmt numFmtId="165" formatCode="yyyy\-mm\-dd\ h:mm:ss"/>
    <numFmt numFmtId="166" formatCode="_(&quot;€&quot;* #,##0.00_);_(&quot;€&quot;* \(#,##0.00\);_(&quot;€&quot;* &quot;-&quot;??_);_(@_)"/>
    <numFmt numFmtId="167" formatCode="&quot;€&quot;#,##0.00_);[Red]\(&quot;€&quot;#,##0.00\)"/>
    <numFmt numFmtId="168" formatCode="m/d/yyyy"/>
    <numFmt numFmtId="169" formatCode="yyyy-mm-dd h:mm:ss"/>
  </numFmts>
  <fonts count="18">
    <font>
      <name val="Calibri"/>
      <family val="2"/>
      <color theme="1"/>
      <sz val="11"/>
      <scheme val="minor"/>
    </font>
    <font>
      <name val="Calibri"/>
      <family val="2"/>
      <b val="1"/>
      <color theme="1"/>
      <sz val="11"/>
      <scheme val="minor"/>
    </font>
    <font>
      <name val="Calibri"/>
      <family val="2"/>
      <b val="1"/>
      <color theme="1"/>
      <sz val="16"/>
      <scheme val="minor"/>
    </font>
    <font>
      <name val="Calibri"/>
      <family val="2"/>
      <b val="1"/>
      <color theme="1"/>
      <sz val="20"/>
      <scheme val="minor"/>
    </font>
    <font>
      <name val="Calibri"/>
      <family val="2"/>
      <b val="1"/>
      <sz val="11"/>
      <scheme val="minor"/>
    </font>
    <font>
      <name val="Calibri"/>
      <family val="2"/>
      <color theme="1"/>
      <sz val="11"/>
      <scheme val="minor"/>
    </font>
    <font>
      <name val="Cambria"/>
      <family val="1"/>
      <color theme="1"/>
      <sz val="11"/>
    </font>
    <font>
      <name val="Calibri"/>
      <family val="2"/>
      <b val="1"/>
      <color theme="0"/>
      <sz val="11"/>
      <scheme val="minor"/>
    </font>
    <font>
      <name val="Calibri"/>
      <family val="2"/>
      <b val="1"/>
      <sz val="11"/>
    </font>
    <font>
      <name val="Cambria"/>
      <family val="1"/>
      <b val="1"/>
      <color theme="1"/>
      <sz val="11"/>
    </font>
    <font>
      <name val="Calibri"/>
      <family val="2"/>
      <b val="1"/>
      <color theme="0"/>
      <sz val="16"/>
      <scheme val="minor"/>
    </font>
    <font>
      <name val="Calibri"/>
      <family val="2"/>
      <b val="1"/>
      <color rgb="FF365F91"/>
      <sz val="22"/>
      <scheme val="minor"/>
    </font>
    <font>
      <name val="Cambria"/>
      <family val="1"/>
      <b val="1"/>
      <color theme="0"/>
      <sz val="11"/>
    </font>
    <font>
      <name val="Cambria"/>
      <family val="1"/>
      <b val="1"/>
      <color theme="3"/>
      <sz val="11"/>
    </font>
    <font>
      <name val="Calibri"/>
      <family val="2"/>
      <color rgb="FFFF0000"/>
      <sz val="11"/>
      <scheme val="minor"/>
    </font>
    <font>
      <name val="Calibri"/>
      <family val="2"/>
      <color theme="10"/>
      <sz val="11"/>
      <u val="single"/>
      <scheme val="minor"/>
    </font>
    <font>
      <name val="Calibri"/>
      <family val="2"/>
      <sz val="11"/>
      <scheme val="minor"/>
    </font>
    <font>
      <name val="Calibri"/>
      <family val="2"/>
      <color rgb="FF000000"/>
      <sz val="11"/>
      <scheme val="minor"/>
    </font>
  </fonts>
  <fills count="26">
    <fill>
      <patternFill/>
    </fill>
    <fill>
      <patternFill patternType="gray125"/>
    </fill>
    <fill>
      <patternFill patternType="solid">
        <fgColor rgb="FFFF0000"/>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00B050"/>
        <bgColor indexed="64"/>
      </patternFill>
    </fill>
    <fill>
      <patternFill patternType="solid">
        <fgColor theme="8" tint="0.3999755851924192"/>
        <bgColor indexed="64"/>
      </patternFill>
    </fill>
    <fill>
      <patternFill patternType="solid">
        <fgColor theme="9" tint="-0.249977111117893"/>
        <bgColor indexed="64"/>
      </patternFill>
    </fill>
    <fill>
      <patternFill patternType="solid">
        <fgColor rgb="FFFF9999"/>
        <bgColor indexed="64"/>
      </patternFill>
    </fill>
    <fill>
      <patternFill patternType="solid">
        <fgColor theme="4"/>
        <bgColor theme="4"/>
      </patternFill>
    </fill>
    <fill>
      <patternFill patternType="solid">
        <fgColor theme="4" tint="0.5999938962981048"/>
        <bgColor theme="4" tint="0.5999938962981048"/>
      </patternFill>
    </fill>
    <fill>
      <patternFill patternType="solid">
        <fgColor theme="4" tint="0.7999816888943144"/>
        <bgColor theme="4" tint="0.7999816888943144"/>
      </patternFill>
    </fill>
    <fill>
      <patternFill patternType="solid">
        <fgColor theme="4" tint="-0.249977111117893"/>
        <bgColor indexed="64"/>
      </patternFill>
    </fill>
    <fill>
      <patternFill patternType="solid">
        <fgColor rgb="FF00B0F0"/>
        <bgColor indexed="64"/>
      </patternFill>
    </fill>
    <fill>
      <patternFill patternType="solid">
        <fgColor theme="5" tint="0.3999755851924192"/>
        <bgColor indexed="64"/>
      </patternFill>
    </fill>
    <fill>
      <patternFill patternType="solid">
        <fgColor rgb="FF002060"/>
        <bgColor indexed="64"/>
      </patternFill>
    </fill>
    <fill>
      <patternFill patternType="solid">
        <fgColor rgb="FF0070C0"/>
        <bgColor indexed="64"/>
      </patternFill>
    </fill>
    <fill>
      <patternFill patternType="solid">
        <fgColor theme="5" tint="-0.249977111117893"/>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1499984740745262"/>
        <bgColor theme="0" tint="-0.1499984740745262"/>
      </patternFill>
    </fill>
    <fill>
      <patternFill patternType="solid">
        <fgColor rgb="FFFF5050"/>
        <bgColor indexed="64"/>
      </patternFill>
    </fill>
    <fill>
      <patternFill patternType="solid">
        <fgColor rgb="FFFFC000"/>
        <bgColor indexed="64"/>
      </patternFill>
    </fill>
    <fill>
      <patternFill patternType="solid">
        <fgColor theme="8" tint="0.7999816888943144"/>
        <bgColor indexed="64"/>
      </patternFill>
    </fill>
    <fill>
      <patternFill patternType="solid">
        <fgColor rgb="FFFFFF00"/>
        <bgColor indexed="64"/>
      </patternFill>
    </fill>
    <fill>
      <patternFill patternType="solid">
        <fgColor theme="1" tint="0.499984740745262"/>
        <bgColor indexed="64"/>
      </patternFill>
    </fill>
  </fills>
  <borders count="27">
    <border>
      <left/>
      <right/>
      <top/>
      <bottom/>
      <diagonal/>
    </border>
    <border>
      <left style="thin">
        <color indexed="64"/>
      </left>
      <right/>
      <top/>
      <bottom/>
      <diagonal/>
    </border>
    <border>
      <left style="thin">
        <color indexed="64"/>
      </left>
      <right style="thin">
        <color indexed="64"/>
      </right>
      <top/>
      <bottom/>
      <diagonal/>
    </border>
    <border>
      <left/>
      <right/>
      <top/>
      <bottom style="medium">
        <color theme="1"/>
      </bottom>
      <diagonal/>
    </border>
    <border>
      <left/>
      <right/>
      <top style="thin">
        <color auto="1"/>
      </top>
      <bottom/>
      <diagonal/>
    </border>
    <border>
      <left style="thin">
        <color theme="0"/>
      </left>
      <right/>
      <top style="thin">
        <color auto="1"/>
      </top>
      <bottom/>
      <diagonal/>
    </border>
    <border>
      <left/>
      <right/>
      <top style="thin">
        <color theme="0"/>
      </top>
      <bottom/>
      <diagonal/>
    </border>
    <border>
      <left style="thin">
        <color theme="0"/>
      </left>
      <right/>
      <top style="thin">
        <color theme="0"/>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diagonal/>
    </border>
    <border>
      <left/>
      <right/>
      <top style="medium">
        <color indexed="64"/>
      </top>
      <bottom/>
      <diagonal/>
    </border>
    <border>
      <left/>
      <right style="medium">
        <color indexed="64"/>
      </right>
      <top style="medium">
        <color indexed="64"/>
      </top>
      <bottom/>
      <diagonal/>
    </border>
  </borders>
  <cellStyleXfs count="4">
    <xf numFmtId="0" fontId="5" fillId="0" borderId="0"/>
    <xf numFmtId="44" fontId="5" fillId="0" borderId="0"/>
    <xf numFmtId="44" fontId="5" fillId="0" borderId="0"/>
    <xf numFmtId="0" fontId="15" fillId="0" borderId="0"/>
  </cellStyleXfs>
  <cellXfs count="146">
    <xf numFmtId="0" fontId="0" fillId="0" borderId="0" pivotButton="0" quotePrefix="0" xfId="0"/>
    <xf numFmtId="0" fontId="0" fillId="0" borderId="0" applyAlignment="1" pivotButton="0" quotePrefix="0" xfId="0">
      <alignment horizontal="left"/>
    </xf>
    <xf numFmtId="0" fontId="0" fillId="0" borderId="0" applyAlignment="1" pivotButton="0" quotePrefix="0" xfId="0">
      <alignment horizontal="center"/>
    </xf>
    <xf numFmtId="164" fontId="0" fillId="0" borderId="0" applyAlignment="1" pivotButton="0" quotePrefix="0" xfId="0">
      <alignment horizontal="center" vertical="center"/>
    </xf>
    <xf numFmtId="0" fontId="1" fillId="0" borderId="0" applyAlignment="1" pivotButton="0" quotePrefix="0" xfId="0">
      <alignment horizontal="center" vertical="center" wrapText="1"/>
    </xf>
    <xf numFmtId="0" fontId="0" fillId="10" borderId="4" pivotButton="0" quotePrefix="0" xfId="0"/>
    <xf numFmtId="0" fontId="0" fillId="10" borderId="5" pivotButton="0" quotePrefix="0" xfId="0"/>
    <xf numFmtId="0" fontId="0" fillId="11" borderId="6" pivotButton="0" quotePrefix="0" xfId="0"/>
    <xf numFmtId="0" fontId="0" fillId="11" borderId="7" pivotButton="0" quotePrefix="0" xfId="0"/>
    <xf numFmtId="0" fontId="0" fillId="10" borderId="6" pivotButton="0" quotePrefix="0" xfId="0"/>
    <xf numFmtId="0" fontId="0" fillId="10" borderId="7" pivotButton="0" quotePrefix="0" xfId="0"/>
    <xf numFmtId="0" fontId="1" fillId="0" borderId="0" applyAlignment="1" pivotButton="0" quotePrefix="0" xfId="0">
      <alignment vertical="center" wrapText="1"/>
    </xf>
    <xf numFmtId="0" fontId="8" fillId="9" borderId="1" applyAlignment="1" pivotButton="0" quotePrefix="0" xfId="0">
      <alignment horizontal="center" vertical="top"/>
    </xf>
    <xf numFmtId="0" fontId="8" fillId="9" borderId="2" applyAlignment="1" pivotButton="0" quotePrefix="0" xfId="0">
      <alignment horizontal="center" vertical="top"/>
    </xf>
    <xf numFmtId="0" fontId="6" fillId="0" borderId="0" applyAlignment="1" pivotButton="0" quotePrefix="0" xfId="0">
      <alignment vertical="center" wrapText="1"/>
    </xf>
    <xf numFmtId="0" fontId="1" fillId="0" borderId="0" applyAlignment="1" pivotButton="0" quotePrefix="0" xfId="0">
      <alignment wrapText="1"/>
    </xf>
    <xf numFmtId="0" fontId="1" fillId="0" borderId="8" applyAlignment="1" pivotButton="0" quotePrefix="0" xfId="0">
      <alignment wrapText="1"/>
    </xf>
    <xf numFmtId="0" fontId="9" fillId="0" borderId="8" applyAlignment="1" pivotButton="0" quotePrefix="0" xfId="0">
      <alignment horizontal="center" vertical="center" wrapText="1"/>
    </xf>
    <xf numFmtId="0" fontId="9" fillId="0" borderId="9" applyAlignment="1" pivotButton="0" quotePrefix="0" xfId="0">
      <alignment horizontal="center" vertical="center" wrapText="1"/>
    </xf>
    <xf numFmtId="0" fontId="3" fillId="4" borderId="14" applyAlignment="1" pivotButton="0" quotePrefix="0" xfId="0">
      <alignment horizontal="left" vertical="center"/>
    </xf>
    <xf numFmtId="0" fontId="12" fillId="15" borderId="10" applyAlignment="1" pivotButton="0" quotePrefix="0" xfId="0">
      <alignment vertical="center" wrapText="1"/>
    </xf>
    <xf numFmtId="0" fontId="12" fillId="16" borderId="10" applyAlignment="1" pivotButton="0" quotePrefix="0" xfId="0">
      <alignment vertical="center" wrapText="1"/>
    </xf>
    <xf numFmtId="0" fontId="12" fillId="13" borderId="10" applyAlignment="1" pivotButton="0" quotePrefix="0" xfId="0">
      <alignment vertical="center" wrapText="1"/>
    </xf>
    <xf numFmtId="0" fontId="12" fillId="17" borderId="10" applyAlignment="1" pivotButton="0" quotePrefix="0" xfId="0">
      <alignment vertical="center" wrapText="1"/>
    </xf>
    <xf numFmtId="0" fontId="12" fillId="14" borderId="10" applyAlignment="1" pivotButton="0" quotePrefix="0" xfId="0">
      <alignment vertical="center" wrapText="1"/>
    </xf>
    <xf numFmtId="0" fontId="12" fillId="19" borderId="10" applyAlignment="1" pivotButton="0" quotePrefix="0" xfId="0">
      <alignment vertical="center" wrapText="1"/>
    </xf>
    <xf numFmtId="0" fontId="12" fillId="7" borderId="10" applyAlignment="1" pivotButton="0" quotePrefix="0" xfId="0">
      <alignment vertical="center" wrapText="1"/>
    </xf>
    <xf numFmtId="0" fontId="12" fillId="7" borderId="17" applyAlignment="1" pivotButton="0" quotePrefix="0" xfId="0">
      <alignment vertical="center" wrapText="1"/>
    </xf>
    <xf numFmtId="0" fontId="7" fillId="9" borderId="0" applyAlignment="1" pivotButton="0" quotePrefix="0" xfId="0">
      <alignment vertical="center" wrapText="1"/>
    </xf>
    <xf numFmtId="0" fontId="4" fillId="8" borderId="0" applyAlignment="1" pivotButton="0" quotePrefix="0" xfId="0">
      <alignment vertical="center" wrapText="1"/>
    </xf>
    <xf numFmtId="0" fontId="7" fillId="7" borderId="0" applyAlignment="1" pivotButton="0" quotePrefix="0" xfId="0">
      <alignment vertical="center" wrapText="1"/>
    </xf>
    <xf numFmtId="0" fontId="7" fillId="2" borderId="0" applyAlignment="1" pivotButton="0" quotePrefix="0" xfId="0">
      <alignment vertical="center" wrapText="1"/>
    </xf>
    <xf numFmtId="0" fontId="7" fillId="6" borderId="0" applyAlignment="1" pivotButton="0" quotePrefix="0" xfId="0">
      <alignment vertical="center" wrapText="1"/>
    </xf>
    <xf numFmtId="164" fontId="7" fillId="5" borderId="0" applyAlignment="1" pivotButton="0" quotePrefix="0" xfId="0">
      <alignment vertical="center" wrapText="1"/>
    </xf>
    <xf numFmtId="0" fontId="7" fillId="5" borderId="0" applyAlignment="1" pivotButton="0" quotePrefix="0" xfId="0">
      <alignment vertical="center" wrapText="1"/>
    </xf>
    <xf numFmtId="0" fontId="1" fillId="3" borderId="0" applyAlignment="1" pivotButton="0" quotePrefix="0" xfId="0">
      <alignment horizontal="center" vertical="center"/>
    </xf>
    <xf numFmtId="0" fontId="1" fillId="0" borderId="0" applyAlignment="1" pivotButton="0" quotePrefix="0" xfId="0">
      <alignment horizontal="center" vertical="center"/>
    </xf>
    <xf numFmtId="0" fontId="13" fillId="18" borderId="10" applyAlignment="1" pivotButton="0" quotePrefix="0" xfId="0">
      <alignment vertical="center" wrapText="1"/>
    </xf>
    <xf numFmtId="0" fontId="11" fillId="0" borderId="11" applyAlignment="1" pivotButton="0" quotePrefix="0" xfId="0">
      <alignment vertical="center" wrapText="1"/>
    </xf>
    <xf numFmtId="0" fontId="11" fillId="0" borderId="12" applyAlignment="1" pivotButton="0" quotePrefix="0" xfId="0">
      <alignment vertical="center" wrapText="1"/>
    </xf>
    <xf numFmtId="0" fontId="11" fillId="0" borderId="13" applyAlignment="1" pivotButton="0" quotePrefix="0" xfId="0">
      <alignment vertical="center" wrapText="1"/>
    </xf>
    <xf numFmtId="0" fontId="10" fillId="12" borderId="18" applyAlignment="1" pivotButton="0" quotePrefix="0" xfId="0">
      <alignment vertical="center" wrapText="1"/>
    </xf>
    <xf numFmtId="0" fontId="10" fillId="12" borderId="19" applyAlignment="1" pivotButton="0" quotePrefix="0" xfId="0">
      <alignment vertical="center" wrapText="1"/>
    </xf>
    <xf numFmtId="0" fontId="10" fillId="12" borderId="20" applyAlignment="1" pivotButton="0" quotePrefix="0" xfId="0">
      <alignment vertical="center" wrapText="1"/>
    </xf>
    <xf numFmtId="0" fontId="3" fillId="4" borderId="0" applyAlignment="1" pivotButton="0" quotePrefix="0" xfId="0">
      <alignment horizontal="left" vertical="center" wrapText="1"/>
    </xf>
    <xf numFmtId="165" fontId="0" fillId="0" borderId="0" pivotButton="0" quotePrefix="0" xfId="0"/>
    <xf numFmtId="0" fontId="0" fillId="0" borderId="1" applyAlignment="1" pivotButton="0" quotePrefix="0" xfId="0">
      <alignment horizontal="left" wrapText="1"/>
    </xf>
    <xf numFmtId="0" fontId="0" fillId="20" borderId="1" applyAlignment="1" pivotButton="0" quotePrefix="0" xfId="0">
      <alignment horizontal="left" wrapText="1"/>
    </xf>
    <xf numFmtId="0" fontId="0" fillId="20" borderId="1" applyAlignment="1" pivotButton="0" quotePrefix="0" xfId="0">
      <alignment horizontal="left" vertical="center" wrapText="1"/>
    </xf>
    <xf numFmtId="0" fontId="0" fillId="0" borderId="1" applyAlignment="1" pivotButton="0" quotePrefix="0" xfId="0">
      <alignment horizontal="left" vertical="top" wrapText="1"/>
    </xf>
    <xf numFmtId="0" fontId="0" fillId="20" borderId="0" applyAlignment="1" pivotButton="0" quotePrefix="0" xfId="0">
      <alignment horizontal="left" wrapText="1"/>
    </xf>
    <xf numFmtId="14" fontId="0" fillId="20" borderId="0" applyAlignment="1" pivotButton="0" quotePrefix="0" xfId="0">
      <alignment horizontal="center" wrapText="1"/>
    </xf>
    <xf numFmtId="0" fontId="0" fillId="20" borderId="0" applyAlignment="1" pivotButton="0" quotePrefix="0" xfId="0">
      <alignment horizontal="center" wrapText="1"/>
    </xf>
    <xf numFmtId="14" fontId="0" fillId="20" borderId="0" applyAlignment="1" pivotButton="0" quotePrefix="0" xfId="0">
      <alignment horizontal="center" vertical="center" wrapText="1"/>
    </xf>
    <xf numFmtId="0" fontId="0" fillId="20" borderId="2" applyAlignment="1" pivotButton="0" quotePrefix="0" xfId="0">
      <alignment horizontal="left" wrapText="1"/>
    </xf>
    <xf numFmtId="0" fontId="0" fillId="0" borderId="0" applyAlignment="1" pivotButton="0" quotePrefix="0" xfId="0">
      <alignment horizontal="left" wrapText="1"/>
    </xf>
    <xf numFmtId="14" fontId="0" fillId="0" borderId="0" applyAlignment="1" pivotButton="0" quotePrefix="0" xfId="0">
      <alignment horizontal="center" wrapText="1"/>
    </xf>
    <xf numFmtId="0" fontId="0" fillId="0" borderId="0" applyAlignment="1" pivotButton="0" quotePrefix="0" xfId="0">
      <alignment horizontal="center" wrapText="1"/>
    </xf>
    <xf numFmtId="14" fontId="0" fillId="0" borderId="0" applyAlignment="1" pivotButton="0" quotePrefix="0" xfId="0">
      <alignment horizontal="center" vertical="center" wrapText="1"/>
    </xf>
    <xf numFmtId="0" fontId="0" fillId="0" borderId="2" applyAlignment="1" pivotButton="0" quotePrefix="0" xfId="0">
      <alignment horizontal="left" wrapText="1"/>
    </xf>
    <xf numFmtId="0" fontId="16" fillId="20" borderId="0" applyAlignment="1" pivotButton="0" quotePrefix="0" xfId="0">
      <alignment horizontal="left" wrapText="1"/>
    </xf>
    <xf numFmtId="14" fontId="16" fillId="20" borderId="0" applyAlignment="1" pivotButton="0" quotePrefix="0" xfId="0">
      <alignment horizontal="center" wrapText="1"/>
    </xf>
    <xf numFmtId="0" fontId="16" fillId="20" borderId="0" applyAlignment="1" pivotButton="0" quotePrefix="0" xfId="0">
      <alignment horizontal="center" wrapText="1"/>
    </xf>
    <xf numFmtId="14" fontId="16" fillId="20" borderId="0" applyAlignment="1" pivotButton="0" quotePrefix="0" xfId="0">
      <alignment horizontal="center" vertical="center" wrapText="1"/>
    </xf>
    <xf numFmtId="0" fontId="16" fillId="20" borderId="2" applyAlignment="1" pivotButton="0" quotePrefix="0" xfId="0">
      <alignment horizontal="left" wrapText="1"/>
    </xf>
    <xf numFmtId="0" fontId="16" fillId="20" borderId="1" applyAlignment="1" pivotButton="0" quotePrefix="0" xfId="0">
      <alignment horizontal="left" wrapText="1"/>
    </xf>
    <xf numFmtId="166" fontId="16" fillId="20" borderId="0" applyAlignment="1" pivotButton="0" quotePrefix="0" xfId="2">
      <alignment horizontal="center" wrapText="1"/>
    </xf>
    <xf numFmtId="0" fontId="0" fillId="20" borderId="21" applyAlignment="1" pivotButton="0" quotePrefix="0" xfId="0">
      <alignment horizontal="left" wrapText="1"/>
    </xf>
    <xf numFmtId="14" fontId="0" fillId="20" borderId="21" applyAlignment="1" pivotButton="0" quotePrefix="0" xfId="0">
      <alignment horizontal="center" wrapText="1"/>
    </xf>
    <xf numFmtId="0" fontId="0" fillId="20" borderId="21" applyAlignment="1" pivotButton="0" quotePrefix="0" xfId="0">
      <alignment horizontal="center" wrapText="1"/>
    </xf>
    <xf numFmtId="14" fontId="0" fillId="20" borderId="21" applyAlignment="1" pivotButton="0" quotePrefix="0" xfId="0">
      <alignment horizontal="center" vertical="center" wrapText="1"/>
    </xf>
    <xf numFmtId="0" fontId="0" fillId="20" borderId="22" applyAlignment="1" pivotButton="0" quotePrefix="0" xfId="0">
      <alignment horizontal="left" wrapText="1"/>
    </xf>
    <xf numFmtId="0" fontId="0" fillId="20" borderId="23" applyAlignment="1" pivotButton="0" quotePrefix="0" xfId="0">
      <alignment horizontal="left" wrapText="1"/>
    </xf>
    <xf numFmtId="164" fontId="0" fillId="20" borderId="21" applyAlignment="1" pivotButton="0" quotePrefix="0" xfId="2">
      <alignment horizontal="center" vertical="center" wrapText="1"/>
    </xf>
    <xf numFmtId="166" fontId="0" fillId="20" borderId="21" applyAlignment="1" pivotButton="0" quotePrefix="0" xfId="2">
      <alignment horizontal="center" wrapText="1"/>
    </xf>
    <xf numFmtId="0" fontId="16" fillId="0" borderId="0" applyAlignment="1" pivotButton="0" quotePrefix="0" xfId="0">
      <alignment horizontal="left" wrapText="1"/>
    </xf>
    <xf numFmtId="0" fontId="0" fillId="21" borderId="0" applyAlignment="1" pivotButton="0" quotePrefix="0" xfId="0">
      <alignment horizontal="left" wrapText="1"/>
    </xf>
    <xf numFmtId="0" fontId="0" fillId="20" borderId="0" applyAlignment="1" pivotButton="0" quotePrefix="0" xfId="0">
      <alignment wrapText="1"/>
    </xf>
    <xf numFmtId="0" fontId="0" fillId="20" borderId="2" applyAlignment="1" pivotButton="0" quotePrefix="0" xfId="0">
      <alignment wrapText="1"/>
    </xf>
    <xf numFmtId="0" fontId="0" fillId="0" borderId="2" applyAlignment="1" pivotButton="0" quotePrefix="0" xfId="0">
      <alignment wrapText="1"/>
    </xf>
    <xf numFmtId="0" fontId="0" fillId="21" borderId="1" applyAlignment="1" pivotButton="0" quotePrefix="0" xfId="0">
      <alignment horizontal="left" wrapText="1"/>
    </xf>
    <xf numFmtId="0" fontId="17" fillId="20" borderId="0" applyAlignment="1" pivotButton="0" quotePrefix="0" xfId="0">
      <alignment horizontal="center" wrapText="1"/>
    </xf>
    <xf numFmtId="0" fontId="17" fillId="20" borderId="0" applyAlignment="1" pivotButton="0" quotePrefix="0" xfId="0">
      <alignment horizontal="left" wrapText="1"/>
    </xf>
    <xf numFmtId="0" fontId="17" fillId="20" borderId="2" applyAlignment="1" pivotButton="0" quotePrefix="0" xfId="0">
      <alignment horizontal="left" wrapText="1"/>
    </xf>
    <xf numFmtId="0" fontId="17" fillId="20" borderId="1" applyAlignment="1" pivotButton="0" quotePrefix="0" xfId="0">
      <alignment horizontal="left" wrapText="1"/>
    </xf>
    <xf numFmtId="167" fontId="17" fillId="20" borderId="0" applyAlignment="1" pivotButton="0" quotePrefix="0" xfId="0">
      <alignment horizontal="center" vertical="center" wrapText="1"/>
    </xf>
    <xf numFmtId="0" fontId="17" fillId="0" borderId="0" applyAlignment="1" pivotButton="0" quotePrefix="0" xfId="0">
      <alignment horizontal="center" wrapText="1"/>
    </xf>
    <xf numFmtId="0" fontId="17" fillId="0" borderId="0" applyAlignment="1" pivotButton="0" quotePrefix="0" xfId="0">
      <alignment horizontal="left" wrapText="1"/>
    </xf>
    <xf numFmtId="0" fontId="17" fillId="0" borderId="2" applyAlignment="1" pivotButton="0" quotePrefix="0" xfId="0">
      <alignment horizontal="left" wrapText="1"/>
    </xf>
    <xf numFmtId="0" fontId="17" fillId="0" borderId="1" applyAlignment="1" pivotButton="0" quotePrefix="0" xfId="0">
      <alignment horizontal="left" wrapText="1"/>
    </xf>
    <xf numFmtId="167" fontId="17" fillId="0" borderId="0" applyAlignment="1" pivotButton="0" quotePrefix="0" xfId="0">
      <alignment horizontal="center" vertical="center" wrapText="1"/>
    </xf>
    <xf numFmtId="164" fontId="0" fillId="0" borderId="1" applyAlignment="1" pivotButton="0" quotePrefix="0" xfId="2">
      <alignment horizontal="left" vertical="center" wrapText="1"/>
    </xf>
    <xf numFmtId="164" fontId="0" fillId="20" borderId="0" applyAlignment="1" pivotButton="0" quotePrefix="0" xfId="0">
      <alignment horizontal="center" vertical="center" wrapText="1"/>
    </xf>
    <xf numFmtId="164" fontId="0" fillId="20" borderId="0" applyAlignment="1" pivotButton="0" quotePrefix="0" xfId="1">
      <alignment horizontal="center" vertical="center" wrapText="1"/>
    </xf>
    <xf numFmtId="0" fontId="0" fillId="20" borderId="0" applyAlignment="1" pivotButton="0" quotePrefix="0" xfId="0">
      <alignment horizontal="left" vertical="center" wrapText="1"/>
    </xf>
    <xf numFmtId="0" fontId="0" fillId="20" borderId="0" applyAlignment="1" pivotButton="0" quotePrefix="0" xfId="0">
      <alignment horizontal="center" vertical="center" wrapText="1"/>
    </xf>
    <xf numFmtId="0" fontId="0" fillId="20" borderId="2" applyAlignment="1" pivotButton="0" quotePrefix="0" xfId="0">
      <alignment horizontal="left" vertical="center" wrapText="1"/>
    </xf>
    <xf numFmtId="166" fontId="0" fillId="20" borderId="0" applyAlignment="1" pivotButton="0" quotePrefix="0" xfId="2">
      <alignment horizontal="center" vertical="center" wrapText="1"/>
    </xf>
    <xf numFmtId="164" fontId="0" fillId="20" borderId="0" applyAlignment="1" pivotButton="0" quotePrefix="0" xfId="2">
      <alignment horizontal="center" vertical="center" wrapText="1"/>
    </xf>
    <xf numFmtId="166" fontId="0" fillId="20" borderId="0" applyAlignment="1" pivotButton="0" quotePrefix="0" xfId="2">
      <alignment horizontal="center" wrapText="1"/>
    </xf>
    <xf numFmtId="0" fontId="0" fillId="2" borderId="2" applyAlignment="1" pivotButton="0" quotePrefix="0" xfId="0">
      <alignment horizontal="left" wrapText="1"/>
    </xf>
    <xf numFmtId="164" fontId="0" fillId="0" borderId="0" applyAlignment="1" pivotButton="0" quotePrefix="0" xfId="2">
      <alignment horizontal="center" vertical="center" wrapText="1"/>
    </xf>
    <xf numFmtId="166" fontId="0" fillId="0" borderId="0" applyAlignment="1" pivotButton="0" quotePrefix="0" xfId="2">
      <alignment horizontal="center" wrapText="1"/>
    </xf>
    <xf numFmtId="0" fontId="0" fillId="22" borderId="0" applyAlignment="1" pivotButton="0" quotePrefix="0" xfId="0">
      <alignment horizontal="left" wrapText="1"/>
    </xf>
    <xf numFmtId="0" fontId="0" fillId="23" borderId="0" applyAlignment="1" pivotButton="0" quotePrefix="0" xfId="0">
      <alignment horizontal="left" wrapText="1"/>
    </xf>
    <xf numFmtId="14" fontId="0" fillId="24" borderId="0" applyAlignment="1" pivotButton="0" quotePrefix="0" xfId="0">
      <alignment horizontal="center" vertical="center" wrapText="1"/>
    </xf>
    <xf numFmtId="0" fontId="0" fillId="0" borderId="0" applyAlignment="1" pivotButton="0" quotePrefix="0" xfId="0">
      <alignment wrapText="1"/>
    </xf>
    <xf numFmtId="0" fontId="14" fillId="0" borderId="0" applyAlignment="1" pivotButton="0" quotePrefix="0" xfId="0">
      <alignment horizontal="left" wrapText="1"/>
    </xf>
    <xf numFmtId="14" fontId="14" fillId="0" borderId="0" applyAlignment="1" pivotButton="0" quotePrefix="0" xfId="0">
      <alignment horizontal="center" wrapText="1"/>
    </xf>
    <xf numFmtId="0" fontId="14" fillId="0" borderId="0" applyAlignment="1" pivotButton="0" quotePrefix="0" xfId="0">
      <alignment horizontal="center" wrapText="1"/>
    </xf>
    <xf numFmtId="14" fontId="14" fillId="25" borderId="0" applyAlignment="1" pivotButton="0" quotePrefix="0" xfId="0">
      <alignment horizontal="center" vertical="center" wrapText="1"/>
    </xf>
    <xf numFmtId="0" fontId="14" fillId="0" borderId="2" applyAlignment="1" pivotButton="0" quotePrefix="0" xfId="0">
      <alignment horizontal="left" wrapText="1"/>
    </xf>
    <xf numFmtId="0" fontId="14" fillId="0" borderId="1" applyAlignment="1" pivotButton="0" quotePrefix="0" xfId="0">
      <alignment horizontal="left" wrapText="1"/>
    </xf>
    <xf numFmtId="164" fontId="14" fillId="0" borderId="0" applyAlignment="1" pivotButton="0" quotePrefix="0" xfId="2">
      <alignment horizontal="center" vertical="center" wrapText="1"/>
    </xf>
    <xf numFmtId="166" fontId="14" fillId="0" borderId="0" applyAlignment="1" pivotButton="0" quotePrefix="0" xfId="2">
      <alignment horizontal="center" wrapText="1"/>
    </xf>
    <xf numFmtId="14" fontId="14" fillId="0" borderId="0" applyAlignment="1" pivotButton="0" quotePrefix="0" xfId="0">
      <alignment horizontal="center" vertical="center" wrapText="1"/>
    </xf>
    <xf numFmtId="0" fontId="14" fillId="20" borderId="0" applyAlignment="1" pivotButton="0" quotePrefix="0" xfId="0">
      <alignment horizontal="left" wrapText="1"/>
    </xf>
    <xf numFmtId="14" fontId="14" fillId="20" borderId="0" applyAlignment="1" pivotButton="0" quotePrefix="0" xfId="0">
      <alignment horizontal="center" wrapText="1"/>
    </xf>
    <xf numFmtId="0" fontId="14" fillId="20" borderId="0" applyAlignment="1" pivotButton="0" quotePrefix="0" xfId="0">
      <alignment horizontal="center" wrapText="1"/>
    </xf>
    <xf numFmtId="14" fontId="14" fillId="20" borderId="0" applyAlignment="1" pivotButton="0" quotePrefix="0" xfId="0">
      <alignment horizontal="center" vertical="center" wrapText="1"/>
    </xf>
    <xf numFmtId="0" fontId="14" fillId="20" borderId="2" applyAlignment="1" pivotButton="0" quotePrefix="0" xfId="0">
      <alignment horizontal="left" wrapText="1"/>
    </xf>
    <xf numFmtId="0" fontId="14" fillId="20" borderId="1" applyAlignment="1" pivotButton="0" quotePrefix="0" xfId="0">
      <alignment horizontal="left" wrapText="1"/>
    </xf>
    <xf numFmtId="164" fontId="14" fillId="20" borderId="0" applyAlignment="1" pivotButton="0" quotePrefix="0" xfId="2">
      <alignment horizontal="center" vertical="center" wrapText="1"/>
    </xf>
    <xf numFmtId="166" fontId="14" fillId="20" borderId="0" applyAlignment="1" pivotButton="0" quotePrefix="0" xfId="2">
      <alignment horizontal="center" wrapText="1"/>
    </xf>
    <xf numFmtId="164" fontId="0" fillId="0" borderId="0" applyAlignment="1" pivotButton="0" quotePrefix="0" xfId="0">
      <alignment horizontal="center" vertical="center" wrapText="1"/>
    </xf>
    <xf numFmtId="168" fontId="0" fillId="0" borderId="0" applyAlignment="1" pivotButton="0" quotePrefix="0" xfId="0">
      <alignment horizontal="center" vertical="center" wrapText="1"/>
    </xf>
    <xf numFmtId="168" fontId="0" fillId="20" borderId="0" applyAlignment="1" pivotButton="0" quotePrefix="0" xfId="0">
      <alignment horizontal="center" vertical="center" wrapText="1"/>
    </xf>
    <xf numFmtId="0" fontId="0" fillId="5" borderId="0" applyAlignment="1" pivotButton="0" quotePrefix="0" xfId="0">
      <alignment horizontal="left" wrapText="1"/>
    </xf>
    <xf numFmtId="14" fontId="0" fillId="5" borderId="0" applyAlignment="1" pivotButton="0" quotePrefix="0" xfId="0">
      <alignment horizontal="center" wrapText="1"/>
    </xf>
    <xf numFmtId="0" fontId="0" fillId="5" borderId="0" applyAlignment="1" pivotButton="0" quotePrefix="0" xfId="0">
      <alignment horizontal="center" wrapText="1"/>
    </xf>
    <xf numFmtId="168" fontId="0" fillId="5" borderId="0" applyAlignment="1" pivotButton="0" quotePrefix="0" xfId="0">
      <alignment horizontal="center" vertical="center" wrapText="1"/>
    </xf>
    <xf numFmtId="0" fontId="0" fillId="5" borderId="2" applyAlignment="1" pivotButton="0" quotePrefix="0" xfId="0">
      <alignment horizontal="left" wrapText="1"/>
    </xf>
    <xf numFmtId="0" fontId="0" fillId="5" borderId="1" applyAlignment="1" pivotButton="0" quotePrefix="0" xfId="0">
      <alignment horizontal="left" wrapText="1"/>
    </xf>
    <xf numFmtId="164" fontId="0" fillId="5" borderId="0" applyAlignment="1" pivotButton="0" quotePrefix="0" xfId="0">
      <alignment horizontal="center" vertical="center" wrapText="1"/>
    </xf>
    <xf numFmtId="0" fontId="0" fillId="24" borderId="0" applyAlignment="1" pivotButton="0" quotePrefix="0" xfId="0">
      <alignment horizontal="left" wrapText="1"/>
    </xf>
    <xf numFmtId="0" fontId="0" fillId="0" borderId="24" applyAlignment="1" pivotButton="0" quotePrefix="0" xfId="0">
      <alignment horizontal="left" wrapText="1"/>
    </xf>
    <xf numFmtId="0" fontId="1" fillId="20" borderId="2" applyAlignment="1" pivotButton="0" quotePrefix="0" xfId="0">
      <alignment wrapText="1"/>
    </xf>
    <xf numFmtId="0" fontId="1" fillId="20" borderId="0" applyAlignment="1" pivotButton="0" quotePrefix="0" xfId="0">
      <alignment wrapText="1"/>
    </xf>
    <xf numFmtId="0" fontId="15" fillId="0" borderId="0" applyAlignment="1" pivotButton="0" quotePrefix="0" xfId="3">
      <alignment horizontal="left" wrapText="1"/>
    </xf>
    <xf numFmtId="0" fontId="6" fillId="0" borderId="0" applyAlignment="1" pivotButton="0" quotePrefix="0" xfId="0">
      <alignment wrapText="1"/>
    </xf>
    <xf numFmtId="0" fontId="2" fillId="4" borderId="16" applyAlignment="1" pivotButton="0" quotePrefix="0" xfId="0">
      <alignment horizontal="left" vertical="center"/>
    </xf>
    <xf numFmtId="0" fontId="0" fillId="0" borderId="15" pivotButton="0" quotePrefix="0" xfId="0"/>
    <xf numFmtId="0" fontId="0" fillId="0" borderId="16" pivotButton="0" quotePrefix="0" xfId="0"/>
    <xf numFmtId="0" fontId="2" fillId="4" borderId="3" applyAlignment="1" pivotButton="0" quotePrefix="0" xfId="0">
      <alignment horizontal="left" vertical="center" wrapText="1"/>
    </xf>
    <xf numFmtId="0" fontId="0" fillId="0" borderId="3" pivotButton="0" quotePrefix="0" xfId="0"/>
    <xf numFmtId="169" fontId="0" fillId="0" borderId="0" pivotButton="0" quotePrefix="0" xfId="0"/>
  </cellXfs>
  <cellStyles count="4">
    <cellStyle name="Normal" xfId="0" builtinId="0"/>
    <cellStyle name="Moneda 2" xfId="1"/>
    <cellStyle name="Moneda" xfId="2" builtinId="4"/>
    <cellStyle name="Hipervínculo" xfId="3" builtinId="8"/>
  </cellStyles>
  <dxfs count="86">
    <dxf>
      <font>
        <name val="Calibri"/>
        <family val="2"/>
        <strike val="0"/>
        <outline val="0"/>
        <shadow val="0"/>
        <condense val="0"/>
        <color theme="1"/>
        <extend val="0"/>
        <sz val="11"/>
        <vertAlign val="baseline"/>
        <scheme val="minor"/>
      </font>
      <fill>
        <patternFill patternType="solid">
          <fgColor theme="4" tint="0.5999938962981048"/>
          <bgColor theme="4" tint="0.5999938962981048"/>
        </patternFill>
      </fill>
      <border>
        <left style="thin">
          <color theme="0"/>
        </left>
        <right/>
        <top style="thin">
          <color theme="0"/>
        </top>
        <bottom/>
        <vertical/>
        <horizontal/>
      </border>
    </dxf>
    <dxf>
      <font>
        <name val="Calibri"/>
        <family val="2"/>
        <strike val="0"/>
        <outline val="0"/>
        <shadow val="0"/>
        <condense val="0"/>
        <color theme="1"/>
        <extend val="0"/>
        <sz val="11"/>
        <vertAlign val="baseline"/>
        <scheme val="minor"/>
      </font>
      <fill>
        <patternFill patternType="solid">
          <fgColor theme="4" tint="0.5999938962981048"/>
          <bgColor theme="4" tint="0.5999938962981048"/>
        </patternFill>
      </fill>
      <border>
        <left style="thin">
          <color theme="0"/>
        </left>
        <right/>
        <top style="thin">
          <color theme="0"/>
        </top>
        <bottom/>
        <vertical/>
        <horizontal/>
      </border>
    </dxf>
    <dxf>
      <font>
        <name val="Calibri"/>
        <family val="2"/>
        <strike val="0"/>
        <outline val="0"/>
        <shadow val="0"/>
        <condense val="0"/>
        <color theme="1"/>
        <extend val="0"/>
        <sz val="11"/>
        <vertAlign val="baseline"/>
        <scheme val="minor"/>
      </font>
      <fill>
        <patternFill patternType="solid">
          <fgColor theme="4" tint="0.5999938962981048"/>
          <bgColor theme="4" tint="0.5999938962981048"/>
        </patternFill>
      </fill>
      <border>
        <left/>
        <right/>
        <top style="thin">
          <color theme="0"/>
        </top>
        <bottom/>
        <vertical/>
        <horizontal/>
      </border>
    </dxf>
    <dxf>
      <border outline="0">
        <top style="thin">
          <color auto="1"/>
        </top>
      </border>
    </dxf>
    <dxf>
      <font>
        <name val="Calibri"/>
        <family val="2"/>
        <b val="1"/>
        <strike val="0"/>
        <outline val="0"/>
        <shadow val="0"/>
        <condense val="0"/>
        <color auto="1"/>
        <extend val="0"/>
        <sz val="11"/>
        <vertAlign val="baseline"/>
      </font>
      <fill>
        <patternFill patternType="solid">
          <fgColor theme="4"/>
          <bgColor theme="4"/>
        </patternFill>
      </fill>
      <alignment horizontal="center" vertical="top"/>
    </dxf>
    <dxf>
      <border outline="0">
        <top style="thin">
          <color auto="1"/>
        </top>
      </border>
    </dxf>
    <dxf>
      <font>
        <name val="Calibri"/>
        <family val="2"/>
        <b val="1"/>
        <strike val="0"/>
        <outline val="0"/>
        <shadow val="0"/>
        <condense val="0"/>
        <color auto="1"/>
        <extend val="0"/>
        <sz val="11"/>
        <vertAlign val="baseline"/>
      </font>
      <fill>
        <patternFill patternType="solid">
          <fgColor theme="4"/>
          <bgColor theme="4"/>
        </patternFill>
      </fill>
      <alignment horizontal="center" vertical="top"/>
    </dxf>
    <dxf>
      <font>
        <name val="Calibri"/>
        <family val="2"/>
        <strike val="0"/>
        <outline val="0"/>
        <shadow val="0"/>
        <condense val="0"/>
        <color theme="1"/>
        <extend val="0"/>
        <sz val="11"/>
        <vertAlign val="baseline"/>
        <scheme val="minor"/>
      </font>
      <fill>
        <patternFill patternType="solid">
          <fgColor theme="4" tint="0.5999938962981048"/>
          <bgColor theme="4" tint="0.5999938962981048"/>
        </patternFill>
      </fill>
      <border>
        <left style="thin">
          <color theme="0"/>
        </left>
        <right/>
        <top style="thin">
          <color theme="0"/>
        </top>
        <bottom/>
        <vertical/>
        <horizontal/>
      </border>
    </dxf>
    <dxf>
      <font>
        <name val="Calibri"/>
        <family val="2"/>
        <strike val="0"/>
        <outline val="0"/>
        <shadow val="0"/>
        <condense val="0"/>
        <color theme="1"/>
        <extend val="0"/>
        <sz val="11"/>
        <vertAlign val="baseline"/>
        <scheme val="minor"/>
      </font>
      <fill>
        <patternFill patternType="solid">
          <fgColor theme="4" tint="0.5999938962981048"/>
          <bgColor theme="4" tint="0.5999938962981048"/>
        </patternFill>
      </fill>
      <border>
        <left style="thin">
          <color theme="0"/>
        </left>
        <right/>
        <top style="thin">
          <color theme="0"/>
        </top>
        <bottom/>
        <vertical/>
        <horizontal/>
      </border>
    </dxf>
    <dxf>
      <font>
        <name val="Calibri"/>
        <family val="2"/>
        <strike val="0"/>
        <outline val="0"/>
        <shadow val="0"/>
        <condense val="0"/>
        <color theme="1"/>
        <extend val="0"/>
        <sz val="11"/>
        <vertAlign val="baseline"/>
        <scheme val="minor"/>
      </font>
      <fill>
        <patternFill patternType="solid">
          <fgColor theme="4" tint="0.5999938962981048"/>
          <bgColor theme="4" tint="0.5999938962981048"/>
        </patternFill>
      </fill>
      <border>
        <left/>
        <right/>
        <top style="thin">
          <color theme="0"/>
        </top>
        <bottom/>
        <vertical/>
        <horizontal/>
      </border>
    </dxf>
    <dxf>
      <border outline="0">
        <top style="thin">
          <color auto="1"/>
        </top>
      </border>
    </dxf>
    <dxf>
      <font>
        <name val="Calibri"/>
        <family val="2"/>
        <b val="1"/>
        <strike val="0"/>
        <outline val="0"/>
        <shadow val="0"/>
        <condense val="0"/>
        <color auto="1"/>
        <extend val="0"/>
        <sz val="11"/>
        <vertAlign val="baseline"/>
      </font>
      <fill>
        <patternFill patternType="solid">
          <fgColor theme="4"/>
          <bgColor theme="4"/>
        </patternFill>
      </fill>
      <alignment horizontal="center" vertical="top"/>
    </dxf>
    <dxf>
      <font>
        <b val="1"/>
      </font>
      <alignment horizontal="center" vertical="center"/>
    </dxf>
    <dxf>
      <font>
        <b val="1"/>
      </font>
      <alignment horizontal="center" vertical="center"/>
    </dxf>
    <dxf>
      <font>
        <b val="1"/>
      </font>
      <alignment horizontal="center" vertical="center"/>
    </dxf>
    <dxf>
      <font>
        <b val="1"/>
      </font>
      <alignment horizontal="center" vertical="center"/>
    </dxf>
    <dxf>
      <font>
        <b val="1"/>
      </font>
      <alignment horizontal="center" vertical="center"/>
    </dxf>
    <dxf>
      <font>
        <b val="1"/>
      </font>
      <alignment horizontal="center" vertical="center"/>
    </dxf>
    <dxf>
      <font>
        <b val="1"/>
      </font>
      <alignment horizontal="center" vertical="center"/>
    </dxf>
    <dxf>
      <font>
        <b val="1"/>
      </font>
      <alignment horizontal="center" vertical="center"/>
    </dxf>
    <dxf>
      <font>
        <b val="1"/>
      </font>
      <alignment horizontal="center" vertical="center"/>
    </dxf>
    <dxf>
      <font>
        <b val="1"/>
      </font>
      <fill>
        <patternFill patternType="solid">
          <fgColor indexed="64"/>
          <bgColor theme="7" tint="0.5999938962981048"/>
        </patternFill>
      </fill>
      <alignment horizontal="center" vertical="center"/>
    </dxf>
    <dxf>
      <fill>
        <patternFill patternType="solid">
          <fgColor theme="0" tint="-0.1499984740745262"/>
          <bgColor theme="0" tint="-0.1499984740745262"/>
        </patternFill>
      </fill>
      <alignment horizontal="left" vertical="bottom" wrapText="1"/>
    </dxf>
    <dxf>
      <numFmt numFmtId="166" formatCode="_(&quot;€&quot;* #,##0.00_);_(&quot;€&quot;* \(#,##0.00\);_(&quot;€&quot;* &quot;-&quot;??_);_(@_)"/>
      <fill>
        <patternFill patternType="solid">
          <fgColor theme="0" tint="-0.1499984740745262"/>
          <bgColor theme="0" tint="-0.1499984740745262"/>
        </patternFill>
      </fill>
      <alignment horizontal="center" vertical="bottom" wrapText="1"/>
    </dxf>
    <dxf>
      <numFmt numFmtId="166" formatCode="_(&quot;€&quot;* #,##0.00_);_(&quot;€&quot;* \(#,##0.00\);_(&quot;€&quot;* &quot;-&quot;??_);_(@_)"/>
      <fill>
        <patternFill patternType="solid">
          <fgColor theme="0" tint="-0.1499984740745262"/>
          <bgColor theme="0" tint="-0.1499984740745262"/>
        </patternFill>
      </fill>
      <alignment horizontal="center" vertical="bottom" wrapText="1"/>
    </dxf>
    <dxf>
      <numFmt numFmtId="164" formatCode="#,##0.00\ &quot;€&quot;"/>
      <fill>
        <patternFill patternType="solid">
          <fgColor theme="0" tint="-0.1499984740745262"/>
          <bgColor theme="0" tint="-0.1499984740745262"/>
        </patternFill>
      </fill>
      <alignment horizontal="center" vertical="center" wrapText="1"/>
    </dxf>
    <dxf>
      <fill>
        <patternFill patternType="solid">
          <fgColor theme="0" tint="-0.1499984740745262"/>
          <bgColor theme="0" tint="-0.1499984740745262"/>
        </patternFill>
      </fill>
      <alignment horizontal="left" vertical="bottom" wrapText="1"/>
      <border outline="0">
        <left style="thin">
          <color indexed="64"/>
        </left>
        <right/>
        <top/>
        <bottom/>
      </border>
    </dxf>
    <dxf>
      <fill>
        <patternFill patternType="solid">
          <fgColor theme="0" tint="-0.1499984740745262"/>
          <bgColor theme="0" tint="-0.1499984740745262"/>
        </patternFill>
      </fill>
      <alignment horizontal="left" vertical="bottom" wrapText="1"/>
    </dxf>
    <dxf>
      <fill>
        <patternFill patternType="solid">
          <fgColor theme="0" tint="-0.1499984740745262"/>
          <bgColor theme="0" tint="-0.1499984740745262"/>
        </patternFill>
      </fill>
      <alignment horizontal="left" vertical="bottom" wrapText="1"/>
      <border outline="0">
        <left style="thin">
          <color indexed="64"/>
        </left>
        <right style="thin">
          <color indexed="64"/>
        </right>
        <top/>
        <bottom/>
      </border>
    </dxf>
    <dxf>
      <fill>
        <patternFill patternType="solid">
          <fgColor theme="0" tint="-0.1499984740745262"/>
          <bgColor theme="0" tint="-0.1499984740745262"/>
        </patternFill>
      </fill>
      <alignment horizontal="left" vertical="bottom" wrapText="1"/>
    </dxf>
    <dxf>
      <fill>
        <patternFill patternType="solid">
          <fgColor theme="0" tint="-0.1499984740745262"/>
          <bgColor theme="0" tint="-0.1499984740745262"/>
        </patternFill>
      </fill>
      <alignment horizontal="left" vertical="bottom" wrapText="1"/>
    </dxf>
    <dxf>
      <fill>
        <patternFill patternType="solid">
          <fgColor theme="0" tint="-0.1499984740745262"/>
          <bgColor theme="0" tint="-0.1499984740745262"/>
        </patternFill>
      </fill>
      <alignment horizontal="left" vertical="bottom" wrapText="1"/>
    </dxf>
    <dxf>
      <fill>
        <patternFill patternType="solid">
          <fgColor theme="0" tint="-0.1499984740745262"/>
          <bgColor theme="0" tint="-0.1499984740745262"/>
        </patternFill>
      </fill>
      <alignment horizontal="left" vertical="bottom" wrapText="1"/>
    </dxf>
    <dxf>
      <fill>
        <patternFill patternType="solid">
          <fgColor theme="0" tint="-0.1499984740745262"/>
          <bgColor theme="0" tint="-0.1499984740745262"/>
        </patternFill>
      </fill>
      <alignment horizontal="left" vertical="bottom" wrapText="1"/>
    </dxf>
    <dxf>
      <fill>
        <patternFill patternType="solid">
          <fgColor theme="0" tint="-0.1499984740745262"/>
          <bgColor theme="0" tint="-0.1499984740745262"/>
        </patternFill>
      </fill>
      <alignment horizontal="left" vertical="bottom" wrapText="1"/>
    </dxf>
    <dxf>
      <fill>
        <patternFill patternType="solid">
          <fgColor theme="0" tint="-0.1499984740745262"/>
          <bgColor theme="0" tint="-0.1499984740745262"/>
        </patternFill>
      </fill>
      <alignment horizontal="center" vertical="bottom" wrapText="1"/>
    </dxf>
    <dxf>
      <numFmt numFmtId="19" formatCode="dd/mm/yyyy"/>
      <fill>
        <patternFill patternType="solid">
          <fgColor theme="0" tint="-0.1499984740745262"/>
          <bgColor theme="0" tint="-0.1499984740745262"/>
        </patternFill>
      </fill>
      <alignment horizontal="center" vertical="center" wrapText="1"/>
    </dxf>
    <dxf>
      <fill>
        <patternFill patternType="solid">
          <fgColor theme="0" tint="-0.1499984740745262"/>
          <bgColor theme="0" tint="-0.1499984740745262"/>
        </patternFill>
      </fill>
      <alignment horizontal="center" vertical="bottom" wrapText="1"/>
    </dxf>
    <dxf>
      <numFmt numFmtId="19" formatCode="dd/mm/yyyy"/>
      <fill>
        <patternFill patternType="solid">
          <fgColor theme="0" tint="-0.1499984740745262"/>
          <bgColor theme="0" tint="-0.1499984740745262"/>
        </patternFill>
      </fill>
      <alignment horizontal="center" vertical="bottom" wrapText="1"/>
    </dxf>
    <dxf>
      <fill>
        <patternFill patternType="solid">
          <fgColor theme="0" tint="-0.1499984740745262"/>
          <bgColor theme="0" tint="-0.1499984740745262"/>
        </patternFill>
      </fill>
      <alignment horizontal="left" vertical="bottom" wrapText="1"/>
    </dxf>
    <dxf>
      <fill>
        <patternFill patternType="solid">
          <fgColor theme="0" tint="-0.1499984740745262"/>
          <bgColor theme="0" tint="-0.1499984740745262"/>
        </patternFill>
      </fill>
      <alignment horizontal="left" vertical="bottom" wrapText="1"/>
    </dxf>
    <dxf>
      <border outline="0">
        <top style="medium">
          <color theme="1"/>
        </top>
      </border>
    </dxf>
    <dxf>
      <alignment wrapText="1"/>
    </dxf>
    <dxf>
      <alignment wrapText="1"/>
    </dxf>
    <dxf>
      <alignment horizontal="left" vertical="bottom"/>
    </dxf>
    <dxf>
      <alignment horizontal="left" vertical="bottom"/>
    </dxf>
    <dxf>
      <alignment horizontal="left" vertical="bottom"/>
    </dxf>
    <dxf>
      <alignment horizontal="left" vertical="bottom"/>
    </dxf>
    <dxf>
      <alignment horizontal="left" vertical="bottom"/>
    </dxf>
    <dxf>
      <alignment horizontal="left" vertical="bottom"/>
    </dxf>
    <dxf>
      <alignment horizontal="left" vertical="bottom"/>
    </dxf>
    <dxf>
      <alignment horizontal="left" vertical="bottom"/>
    </dxf>
    <dxf>
      <alignment horizontal="left" vertical="bottom"/>
    </dxf>
    <dxf>
      <alignment horizontal="left" vertical="bottom"/>
    </dxf>
    <dxf>
      <alignment horizontal="left" vertical="bottom"/>
    </dxf>
    <dxf>
      <alignment horizontal="left" vertical="bottom"/>
    </dxf>
    <dxf>
      <alignment horizontal="left" vertical="bottom"/>
    </dxf>
    <dxf>
      <alignment horizontal="left" vertical="bottom"/>
    </dxf>
    <dxf>
      <alignment horizontal="left" vertical="bottom"/>
    </dxf>
    <dxf>
      <alignment horizontal="left" vertical="bottom"/>
    </dxf>
    <dxf>
      <alignment horizontal="left" vertical="bottom"/>
    </dxf>
    <dxf>
      <alignment horizontal="left" vertical="bottom"/>
    </dxf>
    <dxf>
      <alignment horizontal="left" vertical="bottom"/>
    </dxf>
    <dxf>
      <alignment horizontal="left" vertical="bottom"/>
    </dxf>
    <dxf>
      <alignment horizontal="left" vertical="bottom"/>
    </dxf>
    <dxf>
      <alignment horizontal="left" vertical="bottom"/>
    </dxf>
    <dxf>
      <alignment horizontal="left" vertical="bottom"/>
    </dxf>
    <dxf>
      <alignment horizontal="left" vertical="bottom"/>
    </dxf>
    <dxf>
      <numFmt numFmtId="164" formatCode="#,##0.00\ &quot;€&quot;"/>
      <alignment horizontal="center" vertical="center"/>
    </dxf>
    <dxf>
      <alignment horizontal="left" vertical="bottom"/>
    </dxf>
    <dxf>
      <alignment horizontal="left" vertical="bottom"/>
    </dxf>
    <dxf>
      <alignment horizontal="left" vertical="bottom"/>
    </dxf>
    <dxf>
      <alignment horizontal="left" vertical="bottom"/>
    </dxf>
    <dxf>
      <alignment horizontal="left" vertical="bottom"/>
    </dxf>
    <dxf>
      <alignment horizontal="left" vertical="bottom"/>
    </dxf>
    <dxf>
      <alignment horizontal="left" vertical="bottom"/>
    </dxf>
    <dxf>
      <alignment horizontal="left" vertical="bottom"/>
    </dxf>
    <dxf>
      <alignment horizontal="left" vertical="bottom"/>
    </dxf>
    <dxf>
      <alignment horizontal="center" vertical="bottom"/>
    </dxf>
    <dxf>
      <alignment horizontal="center" vertical="bottom"/>
    </dxf>
    <dxf>
      <alignment horizontal="center" vertical="bottom"/>
    </dxf>
    <dxf>
      <numFmt numFmtId="165" formatCode="yyyy\-mm\-dd\ h:mm:ss"/>
      <alignment horizontal="center" vertical="bottom"/>
    </dxf>
    <dxf>
      <alignment horizontal="left" vertical="bottom"/>
    </dxf>
    <dxf>
      <alignment horizontal="left" vertical="bottom"/>
    </dxf>
    <dxf>
      <border outline="0">
        <top style="thin">
          <color indexed="64"/>
        </top>
      </border>
    </dxf>
    <dxf>
      <alignment horizontal="left" vertical="bottom"/>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abla9" displayName="Tabla9" ref="A2:AN4" headerRowCount="1" insertRow="1" totalsRowShown="0" dataDxfId="85" tableBorderDxfId="84">
  <autoFilter ref="A2:AN3"/>
  <tableColumns count="40">
    <tableColumn id="1" name="Número de Incidencia (CAPA)" dataDxfId="83"/>
    <tableColumn id="2" name="Número de Reposición" dataDxfId="82"/>
    <tableColumn id="3" name="Fecha de detección" dataDxfId="81"/>
    <tableColumn id="4" name="Cliente" dataDxfId="80"/>
    <tableColumn id="5" name="Pedido" dataDxfId="79"/>
    <tableColumn id="6" name="Producto" dataDxfId="78"/>
    <tableColumn id="7" name="Proceso" dataDxfId="77"/>
    <tableColumn id="8" name="Área" dataDxfId="76"/>
    <tableColumn id="9" name="Detectado por" dataDxfId="75"/>
    <tableColumn id="10" name="Nombre1" dataDxfId="74"/>
    <tableColumn id="11" name="Departamento1" dataDxfId="73"/>
    <tableColumn id="12" name="Nombre2" dataDxfId="72"/>
    <tableColumn id="13" name="Departamento2" dataDxfId="71"/>
    <tableColumn id="14" name="Nombre3" dataDxfId="70"/>
    <tableColumn id="15" name="Departamento3" dataDxfId="69"/>
    <tableColumn id="16" name="¿Qué?" dataDxfId="68"/>
    <tableColumn id="17" name="¿Cuándo?" dataDxfId="67"/>
    <tableColumn id="18" name="¿Dónde?" dataDxfId="66"/>
    <tableColumn id="19" name="¿Cómo?" dataDxfId="65"/>
    <tableColumn id="20" name="¿Quién?" dataDxfId="64"/>
    <tableColumn id="21" name="¿Cuánto está impactando?" dataDxfId="63"/>
    <tableColumn id="22" name="Descripción Detallada de la Incidencia" dataDxfId="62"/>
    <tableColumn id="23" name="Acción Contencion " dataDxfId="61"/>
    <tableColumn id="24" name="Fecha de realización Contencion " dataDxfId="60"/>
    <tableColumn id="25" name="Responsable Contencion" dataDxfId="59"/>
    <tableColumn id="26" name="Estatus Contencion" dataDxfId="58"/>
    <tableColumn id="27" name="¿Por qué? 1" dataDxfId="57"/>
    <tableColumn id="28" name="¿Por qué? 2" dataDxfId="56"/>
    <tableColumn id="29" name="¿Por qué? 3" dataDxfId="55"/>
    <tableColumn id="30" name="¿Por qué? 4" dataDxfId="54"/>
    <tableColumn id="31" name="¿Por qué? 5" dataDxfId="53"/>
    <tableColumn id="32" name="Causa Raíz" dataDxfId="52"/>
    <tableColumn id="33" name="Acción correctiva" dataDxfId="51"/>
    <tableColumn id="34" name="Fecha correctiva" dataDxfId="50"/>
    <tableColumn id="35" name="Responsable correctiva" dataDxfId="49"/>
    <tableColumn id="36" name="Estatus Correctiva" dataDxfId="48"/>
    <tableColumn id="37" name="Acción Preventiva" dataDxfId="47"/>
    <tableColumn id="38" name="Fecha de cierre" dataDxfId="46"/>
    <tableColumn id="39" name="Responsable de auditar" dataDxfId="45"/>
    <tableColumn id="40" name="Aprobo" dataDxfId="44"/>
  </tableColumns>
  <tableStyleInfo name="TableStyleMedium12" showFirstColumn="0" showLastColumn="0" showRowStripes="1" showColumnStripes="0"/>
</table>
</file>

<file path=xl/tables/table2.xml><?xml version="1.0" encoding="utf-8"?>
<table xmlns="http://schemas.openxmlformats.org/spreadsheetml/2006/main" id="2" name="BDCAPA" displayName="BDCAPA" ref="A2:S454" headerRowCount="1" totalsRowShown="0" headerRowDxfId="43" dataDxfId="42" tableBorderDxfId="41">
  <autoFilter ref="A2:S453"/>
  <tableColumns count="19">
    <tableColumn id="1" name="Nº CAPA" dataDxfId="40"/>
    <tableColumn id="2" name="ESTATUS" dataDxfId="39"/>
    <tableColumn id="3" name="FECHA CREACION" dataDxfId="38"/>
    <tableColumn id="4" name="Nº REPOSICIÓN" dataDxfId="37"/>
    <tableColumn id="5" name="FECHA ALBARAN" dataDxfId="36"/>
    <tableColumn id="6" name="PEDIDO ORIGEN" dataDxfId="35"/>
    <tableColumn id="7" name="NOMBRE DEL PEDIDO" dataDxfId="34"/>
    <tableColumn id="8" name="CLIENTE" dataDxfId="33"/>
    <tableColumn id="9" name="COMERCIAL" dataDxfId="32"/>
    <tableColumn id="10" name="TECNICO" dataDxfId="31"/>
    <tableColumn id="11" name="INCIDENCIA" dataDxfId="30"/>
    <tableColumn id="12" name="RESPONSABLE" dataDxfId="29"/>
    <tableColumn id="13" name="ACCION CONTENCIÓN" dataDxfId="28"/>
    <tableColumn id="14" name="ACCION CORRECCIÓN" dataDxfId="27"/>
    <tableColumn id="15" name="DESCRIPCION RESUMIDA CAUSA RAIZ- (Extendida en INFORME 8D)" dataDxfId="26"/>
    <tableColumn id="16" name="€ REPOSICIÓN" dataDxfId="25" dataCellStyle="Moneda"/>
    <tableColumn id="17" name="€ DEVOLUCION" dataDxfId="24" dataCellStyle="Moneda"/>
    <tableColumn id="18" name="ENLACE INFORME 8D" dataDxfId="23" dataCellStyle="Moneda"/>
    <tableColumn id="19" name="MATRICULA" dataDxfId="22"/>
  </tableColumns>
  <tableStyleInfo name="TableStyleMedium2" showFirstColumn="0" showLastColumn="0" showRowStripes="1" showColumnStripes="0"/>
</table>
</file>

<file path=xl/tables/table3.xml><?xml version="1.0" encoding="utf-8"?>
<table xmlns="http://schemas.openxmlformats.org/spreadsheetml/2006/main" id="3" name="DATOS" displayName="DATOS" ref="A1:H34" headerRowCount="1" totalsRowShown="0" headerRowDxfId="21" dataDxfId="20">
  <autoFilter ref="A1:H34"/>
  <tableColumns count="8">
    <tableColumn id="1" name="Tipos de incidencias" dataDxfId="19"/>
    <tableColumn id="4" name="Area" dataDxfId="18"/>
    <tableColumn id="2" name="Nomenclatura de area" dataDxfId="17"/>
    <tableColumn id="5" name="Tecnico" dataDxfId="16"/>
    <tableColumn id="6" name="Comercial" dataDxfId="15"/>
    <tableColumn id="7" name="Proveedor" dataDxfId="14"/>
    <tableColumn id="8" name="Cliente" dataDxfId="13"/>
    <tableColumn id="9" name="Estatus" dataDxfId="12"/>
  </tableColumns>
  <tableStyleInfo name="TableStyleMedium23" showFirstColumn="0" showLastColumn="0" showRowStripes="1" showColumnStripes="0"/>
</table>
</file>

<file path=xl/tables/table4.xml><?xml version="1.0" encoding="utf-8"?>
<table xmlns="http://schemas.openxmlformats.org/spreadsheetml/2006/main" id="4" name="CRAIZ" displayName="CRAIZ" ref="A1:C6" headerRowCount="1" totalsRowShown="0" headerRowDxfId="11" tableBorderDxfId="10">
  <autoFilter ref="A1:C6"/>
  <tableColumns count="3">
    <tableColumn id="1" name="Categoría Causa Raiz" dataDxfId="9"/>
    <tableColumn id="2" name="Qué incluye" dataDxfId="8"/>
    <tableColumn id="3" name="Ejemplos" dataDxfId="7"/>
  </tableColumns>
  <tableStyleInfo name="TableStyleMedium2" showFirstColumn="0" showLastColumn="0" showRowStripes="1" showColumnStripes="0"/>
</table>
</file>

<file path=xl/tables/table5.xml><?xml version="1.0" encoding="utf-8"?>
<table xmlns="http://schemas.openxmlformats.org/spreadsheetml/2006/main" id="5" name="ACONT" displayName="ACONT" ref="A1:C5" headerRowCount="1" totalsRowShown="0" headerRowDxfId="6" tableBorderDxfId="5">
  <autoFilter ref="A1:C5"/>
  <tableColumns count="3">
    <tableColumn id="1" name="Categoría Accion de Contencion"/>
    <tableColumn id="2" name="Qué incluye"/>
    <tableColumn id="3" name="Ejemplos"/>
  </tableColumns>
  <tableStyleInfo name="TableStyleMedium2" showFirstColumn="0" showLastColumn="0" showRowStripes="1" showColumnStripes="0"/>
</table>
</file>

<file path=xl/tables/table6.xml><?xml version="1.0" encoding="utf-8"?>
<table xmlns="http://schemas.openxmlformats.org/spreadsheetml/2006/main" id="6" name="ACORR" displayName="ACORR" ref="A1:C6" headerRowCount="1" totalsRowShown="0" headerRowDxfId="4" tableBorderDxfId="3">
  <autoFilter ref="A1:C6"/>
  <tableColumns count="3">
    <tableColumn id="1" name="Categoría Acciones Correctivas" dataDxfId="2"/>
    <tableColumn id="2" name="Qué incluye" dataDxfId="1"/>
    <tableColumn id="3" name="Ejemplos"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tabColor theme="7" tint="0.3999755851924192"/>
    <outlinePr summaryBelow="1" summaryRight="1"/>
    <pageSetUpPr/>
  </sheetPr>
  <dimension ref="A1:AN4"/>
  <sheetViews>
    <sheetView showGridLines="0" zoomScale="55" zoomScaleNormal="55" workbookViewId="0">
      <pane ySplit="2" topLeftCell="A3" activePane="bottomLeft" state="frozen"/>
      <selection activeCell="C17" sqref="C17"/>
      <selection pane="bottomLeft" activeCell="C19" sqref="C19"/>
    </sheetView>
  </sheetViews>
  <sheetFormatPr baseColWidth="10" defaultColWidth="25.140625" defaultRowHeight="15"/>
  <cols>
    <col width="30.7109375" customWidth="1" style="1" min="1" max="1"/>
    <col width="25.140625" customWidth="1" style="1" min="2" max="2"/>
    <col width="25.140625" customWidth="1" style="2" min="3" max="6"/>
    <col width="43.42578125" customWidth="1" style="1" min="7" max="7"/>
    <col width="48" customWidth="1" style="1" min="8" max="8"/>
    <col width="48.5703125" customWidth="1" style="1" min="9" max="9"/>
    <col width="25.140625" customWidth="1" style="1" min="10" max="10"/>
    <col width="54.42578125" customWidth="1" style="1" min="11" max="11"/>
    <col width="39.42578125" customWidth="1" style="1" min="12" max="12"/>
    <col width="45.85546875" customWidth="1" style="1" min="13" max="13"/>
    <col width="46.140625" customWidth="1" style="1" min="14" max="14"/>
    <col width="91.42578125" customWidth="1" style="1" min="15" max="15"/>
    <col width="25.140625" customWidth="1" style="3" min="16" max="16"/>
    <col width="25.140625" customWidth="1" style="1" min="17" max="18"/>
    <col width="36" customWidth="1" style="1" min="19" max="19"/>
    <col width="25.140625" customWidth="1" style="1" min="20" max="20"/>
    <col width="26.85546875" customWidth="1" style="1" min="21" max="21"/>
    <col width="38.42578125" customWidth="1" style="1" min="22" max="22"/>
    <col width="25.140625" customWidth="1" style="1" min="23" max="23"/>
    <col width="33.5703125" customWidth="1" style="1" min="24" max="24"/>
    <col width="25.85546875" customWidth="1" style="1" min="25" max="25"/>
    <col width="25.140625" customWidth="1" style="1" min="26" max="36"/>
    <col width="51.85546875" customWidth="1" style="1" min="37" max="37"/>
    <col width="25.140625" customWidth="1" style="1" min="38" max="62"/>
    <col width="25.140625" customWidth="1" style="1" min="63" max="16384"/>
  </cols>
  <sheetData>
    <row r="1" ht="32.65" customHeight="1" thickBot="1">
      <c r="A1" s="19" t="inlineStr">
        <is>
          <t>8D</t>
        </is>
      </c>
      <c r="B1" s="140" t="inlineStr">
        <is>
          <t>BASE DE DATOS INFORME 8D</t>
        </is>
      </c>
      <c r="C1" s="141" t="n"/>
      <c r="D1" s="141" t="n"/>
      <c r="E1" s="141" t="n"/>
      <c r="F1" s="141" t="n"/>
      <c r="G1" s="141" t="n"/>
      <c r="H1" s="141" t="n"/>
      <c r="I1" s="141" t="n"/>
      <c r="J1" s="141" t="n"/>
      <c r="K1" s="141" t="n"/>
      <c r="L1" s="141" t="n"/>
      <c r="M1" s="141" t="n"/>
      <c r="N1" s="141" t="n"/>
      <c r="O1" s="141" t="n"/>
      <c r="P1" s="141" t="n"/>
      <c r="Q1" s="141" t="n"/>
      <c r="R1" s="141" t="n"/>
      <c r="S1" s="142" t="n"/>
    </row>
    <row r="2" ht="30" customFormat="1" customHeight="1" s="11" thickBot="1">
      <c r="A2" s="20" t="inlineStr">
        <is>
          <t>Número de Incidencia (CAPA)</t>
        </is>
      </c>
      <c r="B2" s="20" t="inlineStr">
        <is>
          <t>Número de Reposición</t>
        </is>
      </c>
      <c r="C2" s="20" t="inlineStr">
        <is>
          <t>Fecha de detección</t>
        </is>
      </c>
      <c r="D2" s="20" t="inlineStr">
        <is>
          <t>Cliente</t>
        </is>
      </c>
      <c r="E2" s="20" t="inlineStr">
        <is>
          <t>Pedido</t>
        </is>
      </c>
      <c r="F2" s="20" t="inlineStr">
        <is>
          <t>Producto</t>
        </is>
      </c>
      <c r="G2" s="20" t="inlineStr">
        <is>
          <t>Proceso</t>
        </is>
      </c>
      <c r="H2" s="20" t="inlineStr">
        <is>
          <t>Área</t>
        </is>
      </c>
      <c r="I2" s="20" t="inlineStr">
        <is>
          <t>Detectado por</t>
        </is>
      </c>
      <c r="J2" s="21" t="inlineStr">
        <is>
          <t>Nombre1</t>
        </is>
      </c>
      <c r="K2" s="21" t="inlineStr">
        <is>
          <t>Departamento1</t>
        </is>
      </c>
      <c r="L2" s="21" t="inlineStr">
        <is>
          <t>Nombre2</t>
        </is>
      </c>
      <c r="M2" s="21" t="inlineStr">
        <is>
          <t>Departamento2</t>
        </is>
      </c>
      <c r="N2" s="21" t="inlineStr">
        <is>
          <t>Nombre3</t>
        </is>
      </c>
      <c r="O2" s="21" t="inlineStr">
        <is>
          <t>Departamento3</t>
        </is>
      </c>
      <c r="P2" s="22" t="inlineStr">
        <is>
          <t>¿Qué?</t>
        </is>
      </c>
      <c r="Q2" s="22" t="inlineStr">
        <is>
          <t>¿Cuándo?</t>
        </is>
      </c>
      <c r="R2" s="22" t="inlineStr">
        <is>
          <t>¿Dónde?</t>
        </is>
      </c>
      <c r="S2" s="22" t="inlineStr">
        <is>
          <t>¿Cómo?</t>
        </is>
      </c>
      <c r="T2" s="22" t="inlineStr">
        <is>
          <t>¿Quién?</t>
        </is>
      </c>
      <c r="U2" s="22" t="inlineStr">
        <is>
          <t>¿Cuánto está impactando?</t>
        </is>
      </c>
      <c r="V2" s="22" t="inlineStr">
        <is>
          <t>Descripción Detallada de la Incidencia</t>
        </is>
      </c>
      <c r="W2" s="23" t="inlineStr">
        <is>
          <t xml:space="preserve">Acción Contencion </t>
        </is>
      </c>
      <c r="X2" s="23" t="inlineStr">
        <is>
          <t xml:space="preserve">Fecha de realización Contencion </t>
        </is>
      </c>
      <c r="Y2" s="23" t="inlineStr">
        <is>
          <t>Responsable Contencion</t>
        </is>
      </c>
      <c r="Z2" s="23" t="inlineStr">
        <is>
          <t>Estatus Contencion</t>
        </is>
      </c>
      <c r="AA2" s="24" t="inlineStr">
        <is>
          <t>¿Por qué? 1</t>
        </is>
      </c>
      <c r="AB2" s="24" t="inlineStr">
        <is>
          <t>¿Por qué? 2</t>
        </is>
      </c>
      <c r="AC2" s="24" t="inlineStr">
        <is>
          <t>¿Por qué? 3</t>
        </is>
      </c>
      <c r="AD2" s="24" t="inlineStr">
        <is>
          <t>¿Por qué? 4</t>
        </is>
      </c>
      <c r="AE2" s="24" t="inlineStr">
        <is>
          <t>¿Por qué? 5</t>
        </is>
      </c>
      <c r="AF2" s="24" t="inlineStr">
        <is>
          <t>Causa Raíz</t>
        </is>
      </c>
      <c r="AG2" s="37" t="inlineStr">
        <is>
          <t>Acción correctiva</t>
        </is>
      </c>
      <c r="AH2" s="37" t="inlineStr">
        <is>
          <t>Fecha correctiva</t>
        </is>
      </c>
      <c r="AI2" s="37" t="inlineStr">
        <is>
          <t>Responsable correctiva</t>
        </is>
      </c>
      <c r="AJ2" s="37" t="inlineStr">
        <is>
          <t>Estatus Correctiva</t>
        </is>
      </c>
      <c r="AK2" s="25" t="inlineStr">
        <is>
          <t>Acción Preventiva</t>
        </is>
      </c>
      <c r="AL2" s="26" t="inlineStr">
        <is>
          <t>Fecha de cierre</t>
        </is>
      </c>
      <c r="AM2" s="26" t="inlineStr">
        <is>
          <t>Responsable de auditar</t>
        </is>
      </c>
      <c r="AN2" s="27" t="inlineStr">
        <is>
          <t>Aprobo</t>
        </is>
      </c>
    </row>
    <row r="3">
      <c r="B3" t="inlineStr">
        <is>
          <t>OC25-2510 - REP-FAB NEIB</t>
        </is>
      </c>
      <c r="C3" s="45" t="n">
        <v>45980</v>
      </c>
      <c r="D3" t="inlineStr">
        <is>
          <t>NEIBER</t>
        </is>
      </c>
      <c r="E3" t="inlineStr">
        <is>
          <t>OC25-2512222</t>
        </is>
      </c>
      <c r="F3" t="inlineStr">
        <is>
          <t>ECO WALL</t>
        </is>
      </c>
      <c r="G3" t="inlineStr">
        <is>
          <t>fabricacion</t>
        </is>
      </c>
      <c r="H3" t="inlineStr">
        <is>
          <t>Logística / Transporte.</t>
        </is>
      </c>
      <c r="I3" t="inlineStr">
        <is>
          <t>Miguel Ángel</t>
        </is>
      </c>
      <c r="J3" t="inlineStr">
        <is>
          <t>NEIBER</t>
        </is>
      </c>
      <c r="K3" t="inlineStr">
        <is>
          <t>GESTION</t>
        </is>
      </c>
      <c r="L3" t="inlineStr">
        <is>
          <t>Luis</t>
        </is>
      </c>
      <c r="M3" t="inlineStr">
        <is>
          <t>Técnico</t>
        </is>
      </c>
      <c r="P3" t="inlineStr">
        <is>
          <t>El cliente CABOPOL (Portugal) ha recibido paneles de la gama ECO (Islas) con marcas visibles en la superficie.</t>
        </is>
      </c>
      <c r="Q3" s="45" t="n">
        <v>45980</v>
      </c>
      <c r="R3" t="inlineStr">
        <is>
          <t>Paneles entregados en CABOPOL – Portugal.</t>
        </is>
      </c>
      <c r="U3" t="inlineStr">
        <is>
          <t>Afectación parcial del pedido, requiere reposición.</t>
        </is>
      </c>
      <c r="V3" t="inlineStr">
        <is>
          <t>Unidades afectadas: 2 paneles.</t>
        </is>
      </c>
      <c r="W3" t="inlineStr">
        <is>
          <t>Se fabricaron de nuevo los 2 paneles afectados que habían llegado con marcas visibles</t>
        </is>
      </c>
      <c r="X3" t="inlineStr">
        <is>
          <t>Esta reposición fue gestionada de forma inmediata para garantizar el suministro correcto al cliente.</t>
        </is>
      </c>
      <c r="Y3" t="inlineStr">
        <is>
          <t>Miguel Ángel</t>
        </is>
      </c>
      <c r="Z3" t="inlineStr">
        <is>
          <t>ABIERTO</t>
        </is>
      </c>
      <c r="AA3" t="inlineStr">
        <is>
          <t>→ Porque los paneles presentaban defectos en la superficie al llegar.</t>
        </is>
      </c>
      <c r="AB3" t="inlineStr">
        <is>
          <t>→ Porque durante el transporte o manipulación se produjo algún tipo de presión o contacto no controlado.</t>
        </is>
      </c>
      <c r="AC3" t="inlineStr">
        <is>
          <t>→ No se puede confirmar, ya que no hay evidencia fotográfica ni trazabilidad del embalaje utilizado en este pedido.</t>
        </is>
      </c>
      <c r="AD3" t="inlineStr">
        <is>
          <t>→ Porque en la fecha de expedición del pedido original no estaba estandarizado el proceso de realización de fotos.</t>
        </is>
      </c>
      <c r="AE3" t="inlineStr">
        <is>
          <t>→ Porque el sistema aún estaba en desarrollo. Actualmente se está trabajando en su estandarización y está en fase avanzada de implantación.</t>
        </is>
      </c>
      <c r="AF3" t="inlineStr">
        <is>
          <t>Logística</t>
        </is>
      </c>
      <c r="AG3" t="inlineStr">
        <is>
          <t xml:space="preserve">Se fabricaron nuevamente los 2 paneles afectados y se gestionó su envío al cliente como solución puntual al caso. </t>
        </is>
      </c>
      <c r="AH3" t="inlineStr">
        <is>
          <t>inmediato</t>
        </is>
      </c>
      <c r="AI3" t="inlineStr">
        <is>
          <t>Miguel Ángel</t>
        </is>
      </c>
      <c r="AJ3" t="inlineStr">
        <is>
          <t>No se han reportado nuevas incidencias tras la reposición.</t>
        </is>
      </c>
      <c r="AK3" t="inlineStr">
        <is>
          <t>1. Implantación de registro fotográfico
Se está implantando un sistema estandarizado de registro fotográfico del embalaje antes de cada expedición, especialmente para productos con geometrías sensibles como las islas. Actualmente, el proceso está en fase avanzada y se está afinando su aplicación en todos los pedidos. Esto permitirá verificar que los productos salen correctamente embalados y completos desde fábrica.
2. Revisión del diseño de embalaje y pirámide de protección
Actualmente se utilizan refuerzos laterales y superiores, colocación en palet y señalización de 'no remontable'. También se coloca una pirámide física de PET sobre los paquetes. Se identifican las siguientes mejoras:
- Estandarizar el uso obligatorio de la pirámide PET.
- Verificación previa a expedición.
- Notificación al cliente para documentar el estado del bulto a la recepción.</t>
        </is>
      </c>
      <c r="AL3" s="45" t="inlineStr">
        <is>
          <t>ABIERTO</t>
        </is>
      </c>
      <c r="AM3" t="inlineStr">
        <is>
          <t>Miguel Ángel</t>
        </is>
      </c>
      <c r="AN3" t="inlineStr">
        <is>
          <t>alejandro</t>
        </is>
      </c>
    </row>
    <row r="4">
      <c r="B4" t="inlineStr">
        <is>
          <t>OC25-2510 - REP-FAB NEIB</t>
        </is>
      </c>
      <c r="C4" s="145" t="n">
        <v>45980</v>
      </c>
      <c r="D4" t="inlineStr">
        <is>
          <t>NEIBER</t>
        </is>
      </c>
      <c r="E4" t="inlineStr">
        <is>
          <t>OC25-2512222</t>
        </is>
      </c>
      <c r="F4" t="inlineStr">
        <is>
          <t>ECO WALL</t>
        </is>
      </c>
      <c r="G4" t="inlineStr">
        <is>
          <t>fabricacion</t>
        </is>
      </c>
      <c r="H4" t="inlineStr">
        <is>
          <t>Logística / Transporte.</t>
        </is>
      </c>
      <c r="I4" t="inlineStr">
        <is>
          <t>Miguel Ángel</t>
        </is>
      </c>
      <c r="J4" t="inlineStr">
        <is>
          <t>NEIBER</t>
        </is>
      </c>
      <c r="K4" t="inlineStr">
        <is>
          <t>GESTION</t>
        </is>
      </c>
      <c r="L4" t="inlineStr">
        <is>
          <t>Luis</t>
        </is>
      </c>
      <c r="M4" t="inlineStr">
        <is>
          <t>Técnico</t>
        </is>
      </c>
      <c r="P4" t="inlineStr">
        <is>
          <t>El cliente CABOPOL (Portugal) ha recibido paneles de la gama ECO (Islas) con marcas visibles en la superficie.</t>
        </is>
      </c>
      <c r="Q4" s="145" t="n">
        <v>45980</v>
      </c>
      <c r="R4" t="inlineStr">
        <is>
          <t>Paneles entregados en CABOPOL – Portugal.</t>
        </is>
      </c>
      <c r="U4" t="inlineStr">
        <is>
          <t>Afectación parcial del pedido, requiere reposición.</t>
        </is>
      </c>
      <c r="V4" t="inlineStr">
        <is>
          <t>Unidades afectadas: 2 paneles.</t>
        </is>
      </c>
      <c r="W4" t="inlineStr">
        <is>
          <t>Se fabricaron de nuevo los 2 paneles afectados que habían llegado con marcas visibles</t>
        </is>
      </c>
      <c r="X4" t="inlineStr">
        <is>
          <t>Esta reposición fue gestionada de forma inmediata para garantizar el suministro correcto al cliente.</t>
        </is>
      </c>
      <c r="Y4" t="inlineStr">
        <is>
          <t>Miguel Ángel</t>
        </is>
      </c>
      <c r="Z4" t="inlineStr">
        <is>
          <t>ABIERTO</t>
        </is>
      </c>
      <c r="AA4" t="inlineStr">
        <is>
          <t>→ Porque los paneles presentaban defectos en la superficie al llegar.</t>
        </is>
      </c>
      <c r="AB4" t="inlineStr">
        <is>
          <t>→ Porque durante el transporte o manipulación se produjo algún tipo de presión o contacto no controlado.</t>
        </is>
      </c>
      <c r="AC4" t="inlineStr">
        <is>
          <t>→ No se puede confirmar, ya que no hay evidencia fotográfica ni trazabilidad del embalaje utilizado en este pedido.</t>
        </is>
      </c>
      <c r="AD4" t="inlineStr">
        <is>
          <t>→ Porque en la fecha de expedición del pedido original no estaba estandarizado el proceso de realización de fotos.</t>
        </is>
      </c>
      <c r="AE4" t="inlineStr">
        <is>
          <t>→ Porque el sistema aún estaba en desarrollo. Actualmente se está trabajando en su estandarización y está en fase avanzada de implantación.</t>
        </is>
      </c>
      <c r="AF4" t="inlineStr">
        <is>
          <t>Logística</t>
        </is>
      </c>
      <c r="AG4" t="inlineStr">
        <is>
          <t xml:space="preserve">Se fabricaron nuevamente los 2 paneles afectados y se gestionó su envío al cliente como solución puntual al caso. </t>
        </is>
      </c>
      <c r="AH4" t="inlineStr">
        <is>
          <t>inmediato</t>
        </is>
      </c>
      <c r="AI4" t="inlineStr">
        <is>
          <t>Miguel Ángel</t>
        </is>
      </c>
      <c r="AJ4" t="inlineStr">
        <is>
          <t>No se han reportado nuevas incidencias tras la reposición.</t>
        </is>
      </c>
      <c r="AK4" t="inlineStr">
        <is>
          <t>1. Implantación de registro fotográfico
Se está implantando un sistema estandarizado de registro fotográfico del embalaje antes de cada expedición, especialmente para productos con geometrías sensibles como las islas. Actualmente, el proceso está en fase avanzada y se está afinando su aplicación en todos los pedidos. Esto permitirá verificar que los productos salen correctamente embalados y completos desde fábrica.
2. Revisión del diseño de embalaje y pirámide de protección
Actualmente se utilizan refuerzos laterales y superiores, colocación en palet y señalización de 'no remontable'. También se coloca una pirámide física de PET sobre los paquetes. Se identifican las siguientes mejoras:
- Estandarizar el uso obligatorio de la pirámide PET.
- Verificación previa a expedición.
- Notificación al cliente para documentar el estado del bulto a la recepción.</t>
        </is>
      </c>
      <c r="AL4" t="inlineStr">
        <is>
          <t>ABIERTO</t>
        </is>
      </c>
      <c r="AM4" t="inlineStr">
        <is>
          <t>Miguel Ángel</t>
        </is>
      </c>
      <c r="AN4" t="inlineStr">
        <is>
          <t>alejandro</t>
        </is>
      </c>
    </row>
  </sheetData>
  <mergeCells count="1">
    <mergeCell ref="B1:S1"/>
  </mergeCells>
  <pageMargins left="0.7" right="0.7" top="0.75" bottom="0.75"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tabColor theme="5" tint="-0.249977111117893"/>
    <outlinePr summaryBelow="1" summaryRight="1"/>
    <pageSetUpPr/>
  </sheetPr>
  <dimension ref="A1:S454"/>
  <sheetViews>
    <sheetView showGridLines="0" tabSelected="1" zoomScale="70" zoomScaleNormal="70" workbookViewId="0">
      <pane ySplit="2" topLeftCell="A89" activePane="bottomLeft" state="frozen"/>
      <selection activeCell="C17" sqref="C17"/>
      <selection pane="bottomLeft" activeCell="A3" sqref="A3:A453"/>
    </sheetView>
  </sheetViews>
  <sheetFormatPr baseColWidth="10" defaultColWidth="25.140625" defaultRowHeight="15"/>
  <cols>
    <col width="25.140625" customWidth="1" style="55" min="1" max="2"/>
    <col width="25.140625" customWidth="1" style="57" min="3" max="6"/>
    <col width="43.42578125" customWidth="1" style="55" min="7" max="7"/>
    <col width="48" customWidth="1" style="55" min="8" max="8"/>
    <col width="48.5703125" customWidth="1" style="55" min="9" max="9"/>
    <col width="25.140625" customWidth="1" style="55" min="10" max="10"/>
    <col width="54.42578125" customWidth="1" style="55" min="11" max="11"/>
    <col width="39.42578125" customWidth="1" style="55" min="12" max="12"/>
    <col width="45.85546875" customWidth="1" style="55" min="13" max="13"/>
    <col width="46.140625" customWidth="1" style="55" min="14" max="14"/>
    <col width="91.42578125" customWidth="1" style="55" min="15" max="15"/>
    <col width="25.140625" customWidth="1" style="124" min="16" max="16"/>
    <col width="25.140625" customWidth="1" style="55" min="17" max="18"/>
    <col width="36" customWidth="1" style="55" min="19" max="19"/>
    <col width="25.140625" customWidth="1" style="55" min="20" max="43"/>
    <col width="25.140625" customWidth="1" style="55" min="44" max="16384"/>
  </cols>
  <sheetData>
    <row r="1" ht="32.65" customHeight="1" thickBot="1">
      <c r="A1" s="44" t="inlineStr">
        <is>
          <t>CAPA</t>
        </is>
      </c>
      <c r="B1" s="143" t="inlineStr">
        <is>
          <t xml:space="preserve">                                                                                    Contention Actions &amp; Preventive Actions</t>
        </is>
      </c>
      <c r="C1" s="144" t="n"/>
      <c r="D1" s="144" t="n"/>
      <c r="E1" s="144" t="n"/>
      <c r="F1" s="144" t="n"/>
      <c r="G1" s="144" t="n"/>
      <c r="H1" s="144" t="n"/>
      <c r="I1" s="144" t="n"/>
      <c r="J1" s="144" t="n"/>
      <c r="K1" s="144" t="n"/>
      <c r="L1" s="144" t="n"/>
      <c r="M1" s="144" t="n"/>
      <c r="N1" s="144" t="n"/>
      <c r="O1" s="144" t="n"/>
      <c r="P1" s="144" t="n"/>
      <c r="Q1" s="144" t="n"/>
      <c r="R1" s="144" t="n"/>
      <c r="S1" s="144" t="n"/>
    </row>
    <row r="2" ht="30" customFormat="1" customHeight="1" s="11">
      <c r="A2" s="28" t="inlineStr">
        <is>
          <t>Nº CAPA</t>
        </is>
      </c>
      <c r="B2" s="29" t="inlineStr">
        <is>
          <t>ESTATUS</t>
        </is>
      </c>
      <c r="C2" s="28" t="inlineStr">
        <is>
          <t>FECHA CREACION</t>
        </is>
      </c>
      <c r="D2" s="28" t="inlineStr">
        <is>
          <t>Nº REPOSICIÓN</t>
        </is>
      </c>
      <c r="E2" s="30" t="inlineStr">
        <is>
          <t>FECHA ALBARAN</t>
        </is>
      </c>
      <c r="F2" s="30" t="inlineStr">
        <is>
          <t>PEDIDO ORIGEN</t>
        </is>
      </c>
      <c r="G2" s="28" t="inlineStr">
        <is>
          <t>NOMBRE DEL PEDIDO</t>
        </is>
      </c>
      <c r="H2" s="28" t="inlineStr">
        <is>
          <t>CLIENTE</t>
        </is>
      </c>
      <c r="I2" s="28" t="inlineStr">
        <is>
          <t>COMERCIAL</t>
        </is>
      </c>
      <c r="J2" s="28" t="inlineStr">
        <is>
          <t>TECNICO</t>
        </is>
      </c>
      <c r="K2" s="31" t="inlineStr">
        <is>
          <t>INCIDENCIA</t>
        </is>
      </c>
      <c r="L2" s="32" t="inlineStr">
        <is>
          <t>RESPONSABLE</t>
        </is>
      </c>
      <c r="M2" s="28" t="inlineStr">
        <is>
          <t>ACCION CONTENCIÓN</t>
        </is>
      </c>
      <c r="N2" s="28" t="inlineStr">
        <is>
          <t>ACCION CORRECCIÓN</t>
        </is>
      </c>
      <c r="O2" s="29" t="inlineStr">
        <is>
          <t>DESCRIPCION RESUMIDA CAUSA RAIZ- (Extendida en INFORME 8D)</t>
        </is>
      </c>
      <c r="P2" s="33" t="inlineStr">
        <is>
          <t>€ REPOSICIÓN</t>
        </is>
      </c>
      <c r="Q2" s="34" t="inlineStr">
        <is>
          <t>€ DEVOLUCION</t>
        </is>
      </c>
      <c r="R2" s="28" t="inlineStr">
        <is>
          <t>ENLACE INFORME 8D</t>
        </is>
      </c>
      <c r="S2" s="28" t="inlineStr">
        <is>
          <t>MATRICULA</t>
        </is>
      </c>
    </row>
    <row r="3" ht="30" customHeight="1">
      <c r="A3" s="50" t="inlineStr">
        <is>
          <t>CP1</t>
        </is>
      </c>
      <c r="B3" s="50" t="inlineStr">
        <is>
          <t>CERRADA</t>
        </is>
      </c>
      <c r="C3" s="51" t="n"/>
      <c r="D3" s="52" t="n"/>
      <c r="E3" s="53" t="n">
        <v>45222</v>
      </c>
      <c r="F3" s="52" t="n">
        <v>2180</v>
      </c>
      <c r="G3" s="50" t="inlineStr">
        <is>
          <t>REP-ERF. 2180. 01. ANDREA MUÑOZ CAJAS ESPECIALES GAMA ECO</t>
        </is>
      </c>
      <c r="H3" s="50" t="inlineStr">
        <is>
          <t>ANDREA MUÑOZ</t>
        </is>
      </c>
      <c r="I3" s="50" t="inlineStr">
        <is>
          <t>Covadonga</t>
        </is>
      </c>
      <c r="J3" s="50" t="inlineStr">
        <is>
          <t>Sandra</t>
        </is>
      </c>
      <c r="K3" s="50" t="inlineStr">
        <is>
          <t>Fabricación</t>
        </is>
      </c>
      <c r="L3" s="50" t="e">
        <v>#REF!</v>
      </c>
      <c r="M3" s="54" t="inlineStr">
        <is>
          <t>Reposición a cliente</t>
        </is>
      </c>
      <c r="N3" s="50" t="inlineStr">
        <is>
          <t>Autocontrol implantado en planta</t>
        </is>
      </c>
      <c r="O3" s="47" t="inlineStr">
        <is>
          <t>cajas mal pegadas y corte diferente a muestra</t>
        </is>
      </c>
      <c r="P3" s="98" t="n">
        <v>0</v>
      </c>
      <c r="Q3" s="99" t="n"/>
      <c r="R3" s="99" t="n"/>
      <c r="S3" s="50" t="e">
        <v>#REF!</v>
      </c>
    </row>
    <row r="4">
      <c r="A4" s="55" t="inlineStr">
        <is>
          <t>CP2</t>
        </is>
      </c>
      <c r="B4" s="55" t="inlineStr">
        <is>
          <t>CERRADA</t>
        </is>
      </c>
      <c r="C4" s="56" t="n"/>
      <c r="E4" s="58" t="n">
        <v>45224</v>
      </c>
      <c r="F4" s="57" t="n">
        <v>3194</v>
      </c>
      <c r="G4" s="55" t="inlineStr">
        <is>
          <t>3194. 00. BELIOS TSYSTEM FASE 2 AND</t>
        </is>
      </c>
      <c r="H4" s="55" t="inlineStr">
        <is>
          <t>Belios</t>
        </is>
      </c>
      <c r="I4" s="55" t="inlineStr">
        <is>
          <t>No hay</t>
        </is>
      </c>
      <c r="J4" s="55" t="inlineStr">
        <is>
          <t>Luis</t>
        </is>
      </c>
      <c r="K4" s="55" t="inlineStr">
        <is>
          <t>Color - Lote - Diferencia</t>
        </is>
      </c>
      <c r="L4" s="55" t="e">
        <v>#REF!</v>
      </c>
      <c r="M4" s="59" t="inlineStr">
        <is>
          <t>Reposición a cliente</t>
        </is>
      </c>
      <c r="N4" s="55" t="inlineStr">
        <is>
          <t>Autocontrol implantado en planta</t>
        </is>
      </c>
      <c r="O4" s="46" t="inlineStr">
        <is>
          <t>7 paneles en diferentes ECO-139 y 1 círculo pintado cortado por el cliente con cuter al abrir la caja</t>
        </is>
      </c>
      <c r="P4" s="101" t="n">
        <v>0</v>
      </c>
      <c r="Q4" s="102" t="n"/>
      <c r="R4" s="102" t="n"/>
      <c r="S4" s="55" t="e">
        <v>#REF!</v>
      </c>
    </row>
    <row r="5" ht="30" customHeight="1">
      <c r="A5" s="50" t="inlineStr">
        <is>
          <t>CP3</t>
        </is>
      </c>
      <c r="B5" s="50" t="inlineStr">
        <is>
          <t>CERRADA</t>
        </is>
      </c>
      <c r="C5" s="51" t="n"/>
      <c r="D5" s="52" t="n"/>
      <c r="E5" s="53" t="n">
        <v>45225</v>
      </c>
      <c r="F5" s="52" t="n">
        <v>3234</v>
      </c>
      <c r="G5" s="50" t="inlineStr">
        <is>
          <t>REP-ERT - 3234. 04. TETRIS CARREFOUR P5, PB, AUD MAD</t>
        </is>
      </c>
      <c r="H5" s="50" t="inlineStr">
        <is>
          <t>TETRIS</t>
        </is>
      </c>
      <c r="I5" s="50" t="inlineStr">
        <is>
          <t>Ricardo</t>
        </is>
      </c>
      <c r="J5" s="50" t="inlineStr">
        <is>
          <t>Diego</t>
        </is>
      </c>
      <c r="K5" s="50" t="inlineStr">
        <is>
          <t>Error técnico</t>
        </is>
      </c>
      <c r="L5" s="50" t="e">
        <v>#REF!</v>
      </c>
      <c r="M5" s="54" t="inlineStr">
        <is>
          <t>Reposición a cliente</t>
        </is>
      </c>
      <c r="N5" s="50" t="inlineStr">
        <is>
          <t>Revisión de archivos .dwg</t>
        </is>
      </c>
      <c r="O5" s="47" t="inlineStr">
        <is>
          <t>4 ecowall v-cut personalizado, los paneles no estaban bien ajustados a la pared</t>
        </is>
      </c>
      <c r="P5" s="98" t="n">
        <v>0</v>
      </c>
      <c r="Q5" s="99" t="n"/>
      <c r="R5" s="99" t="n"/>
      <c r="S5" s="50" t="e">
        <v>#REF!</v>
      </c>
    </row>
    <row r="6" ht="30" customHeight="1">
      <c r="A6" s="55" t="inlineStr">
        <is>
          <t>CP4</t>
        </is>
      </c>
      <c r="B6" s="55" t="inlineStr">
        <is>
          <t>CERRADA</t>
        </is>
      </c>
      <c r="C6" s="56" t="n"/>
      <c r="E6" s="58" t="n">
        <v>45229</v>
      </c>
      <c r="F6" s="57" t="n">
        <v>4491</v>
      </c>
      <c r="G6" s="55" t="inlineStr">
        <is>
          <t>REP-ERT 4491. 00. UBICCA ECOWALL ZETES EXTRA MAD</t>
        </is>
      </c>
      <c r="H6" s="55" t="inlineStr">
        <is>
          <t>Ubicca</t>
        </is>
      </c>
      <c r="I6" s="55" t="inlineStr">
        <is>
          <t>Jorge Rubio</t>
        </is>
      </c>
      <c r="J6" s="55" t="inlineStr">
        <is>
          <t>Diego</t>
        </is>
      </c>
      <c r="K6" s="55" t="inlineStr">
        <is>
          <t>Error técnico</t>
        </is>
      </c>
      <c r="L6" s="55" t="e">
        <v>#REF!</v>
      </c>
      <c r="M6" s="59" t="inlineStr">
        <is>
          <t>Reposición a cliente</t>
        </is>
      </c>
      <c r="N6" s="55" t="inlineStr">
        <is>
          <t>Revisión de historial de pedido cliente</t>
        </is>
      </c>
      <c r="O6" s="46" t="inlineStr">
        <is>
          <t>1 ecowall v-cut, se pidió como el pedido anterior (personalizado) y se cortó como catálogo</t>
        </is>
      </c>
      <c r="P6" s="101" t="n">
        <v>0</v>
      </c>
      <c r="Q6" s="102" t="n"/>
      <c r="R6" s="102" t="n"/>
      <c r="S6" s="55" t="e">
        <v>#REF!</v>
      </c>
    </row>
    <row r="7" ht="30" customHeight="1">
      <c r="A7" s="50" t="inlineStr">
        <is>
          <t>CP5</t>
        </is>
      </c>
      <c r="B7" s="50" t="inlineStr">
        <is>
          <t>CERRADA</t>
        </is>
      </c>
      <c r="C7" s="51" t="n"/>
      <c r="D7" s="52" t="n"/>
      <c r="E7" s="53" t="n">
        <v>45232</v>
      </c>
      <c r="F7" s="52" t="n">
        <v>4513</v>
      </c>
      <c r="G7" s="50" t="inlineStr">
        <is>
          <t>REP-ERF. 4513. 00. ACTIU PANEL ECO PEDIDO 4500017280 CV</t>
        </is>
      </c>
      <c r="H7" s="50" t="inlineStr">
        <is>
          <t>ACTIU</t>
        </is>
      </c>
      <c r="I7" s="50" t="inlineStr">
        <is>
          <t>No hay</t>
        </is>
      </c>
      <c r="J7" s="50" t="inlineStr">
        <is>
          <t>Luis</t>
        </is>
      </c>
      <c r="K7" s="50" t="inlineStr">
        <is>
          <t>Fabricación</t>
        </is>
      </c>
      <c r="L7" s="50" t="e">
        <v>#REF!</v>
      </c>
      <c r="M7" s="54" t="inlineStr">
        <is>
          <t>Reposición a cliente</t>
        </is>
      </c>
      <c r="N7" s="50" t="inlineStr">
        <is>
          <t>Autocontrol implantado en planta</t>
        </is>
      </c>
      <c r="O7" s="47" t="inlineStr">
        <is>
          <t>3 paneles corte + bisel, Las piezas cortadas no tienen la dimensión que se dibujo en su archivo por tolerancia de la máquina de corte</t>
        </is>
      </c>
      <c r="P7" s="98" t="n">
        <v>0</v>
      </c>
      <c r="Q7" s="99" t="n"/>
      <c r="R7" s="99" t="n"/>
      <c r="S7" s="50" t="e">
        <v>#REF!</v>
      </c>
    </row>
    <row r="8" ht="30" customHeight="1">
      <c r="A8" s="55" t="inlineStr">
        <is>
          <t>CP6</t>
        </is>
      </c>
      <c r="B8" s="55" t="inlineStr">
        <is>
          <t>CERRADA</t>
        </is>
      </c>
      <c r="C8" s="56" t="n"/>
      <c r="E8" s="58" t="n">
        <v>45233</v>
      </c>
      <c r="F8" s="57" t="n">
        <v>3041</v>
      </c>
      <c r="G8" s="55" t="inlineStr">
        <is>
          <t>REP-ERT. 3041. 00. ORSAL HEXÁGONOS Y LOGO CV</t>
        </is>
      </c>
      <c r="H8" s="55" t="inlineStr">
        <is>
          <t>ORSAL</t>
        </is>
      </c>
      <c r="I8" s="55" t="inlineStr">
        <is>
          <t>Javier Hernández</t>
        </is>
      </c>
      <c r="J8" s="55" t="inlineStr">
        <is>
          <t>Luis</t>
        </is>
      </c>
      <c r="K8" s="55" t="inlineStr">
        <is>
          <t>Error técnico</t>
        </is>
      </c>
      <c r="L8" s="55" t="e">
        <v>#REF!</v>
      </c>
      <c r="M8" s="59" t="inlineStr">
        <is>
          <t>Reposición a cliente</t>
        </is>
      </c>
      <c r="N8" s="55" t="inlineStr">
        <is>
          <t>Revisar archivos dwg</t>
        </is>
      </c>
      <c r="O8" s="46" t="inlineStr">
        <is>
          <t>1 panel para logo y otro para pintar error de escalado del panel</t>
        </is>
      </c>
      <c r="P8" s="101" t="n">
        <v>0</v>
      </c>
      <c r="Q8" s="102" t="n"/>
      <c r="R8" s="102" t="n"/>
      <c r="S8" s="55" t="e">
        <v>#REF!</v>
      </c>
    </row>
    <row r="9" ht="30" customHeight="1">
      <c r="A9" s="50" t="inlineStr">
        <is>
          <t>CP7</t>
        </is>
      </c>
      <c r="B9" s="50" t="inlineStr">
        <is>
          <t>CERRADA</t>
        </is>
      </c>
      <c r="C9" s="51" t="n"/>
      <c r="D9" s="52" t="n"/>
      <c r="E9" s="53" t="n">
        <v>45236</v>
      </c>
      <c r="F9" s="52" t="n">
        <v>4217</v>
      </c>
      <c r="G9" s="50" t="inlineStr">
        <is>
          <t>REP-IT. 4217. 00. CANE CHARLY_PHM_ECOCLOUD EW147_FR</t>
        </is>
      </c>
      <c r="H9" s="50" t="inlineStr">
        <is>
          <t>PHM IMMOBILIER</t>
        </is>
      </c>
      <c r="I9" s="50" t="inlineStr">
        <is>
          <t>Sylvain</t>
        </is>
      </c>
      <c r="J9" s="50" t="inlineStr">
        <is>
          <t>Luis</t>
        </is>
      </c>
      <c r="K9" s="50" t="inlineStr">
        <is>
          <t>Transporte</t>
        </is>
      </c>
      <c r="L9" s="50" t="e">
        <v>#REF!</v>
      </c>
      <c r="M9" s="54" t="inlineStr">
        <is>
          <t>Reposición a cliente</t>
        </is>
      </c>
      <c r="N9" s="50" t="n"/>
      <c r="O9" s="47" t="inlineStr">
        <is>
          <t xml:space="preserve">Han llegado 10 paneles dañados. </t>
        </is>
      </c>
      <c r="P9" s="98" t="n">
        <v>0</v>
      </c>
      <c r="Q9" s="99" t="n"/>
      <c r="R9" s="99" t="n"/>
      <c r="S9" s="50" t="e">
        <v>#REF!</v>
      </c>
    </row>
    <row r="10" ht="30" customHeight="1">
      <c r="A10" s="55" t="inlineStr">
        <is>
          <t>CP8</t>
        </is>
      </c>
      <c r="B10" s="55" t="inlineStr">
        <is>
          <t>CERRADA</t>
        </is>
      </c>
      <c r="C10" s="56" t="n"/>
      <c r="E10" s="58" t="n">
        <v>45236</v>
      </c>
      <c r="F10" s="57" t="n">
        <v>4357</v>
      </c>
      <c r="G10" s="55" t="inlineStr">
        <is>
          <t>REP-ERT. 4357. 01. TRECEX AUDITORIO DOCTOR DUARTE 3 MAD</t>
        </is>
      </c>
      <c r="I10" s="55" t="inlineStr">
        <is>
          <t>Jon Rioboo</t>
        </is>
      </c>
      <c r="J10" s="55" t="inlineStr">
        <is>
          <t>Mónica</t>
        </is>
      </c>
      <c r="K10" s="55" t="inlineStr">
        <is>
          <t>Error técnico</t>
        </is>
      </c>
      <c r="L10" s="55" t="e">
        <v>#REF!</v>
      </c>
      <c r="M10" s="59" t="inlineStr">
        <is>
          <t>Reposición a cliente</t>
        </is>
      </c>
      <c r="N10" s="55" t="inlineStr">
        <is>
          <t>Validar el despiece personalizado con el cliente</t>
        </is>
      </c>
      <c r="O10" s="46" t="inlineStr">
        <is>
          <t>Hemos enviado 12 paneles con un diseño anterior y no con el último ( debíamos haber cotejado con el cliente antes de fabricar)</t>
        </is>
      </c>
      <c r="P10" s="101" t="n">
        <v>0</v>
      </c>
      <c r="Q10" s="102" t="n"/>
      <c r="R10" s="102" t="n"/>
      <c r="S10" s="55" t="e">
        <v>#REF!</v>
      </c>
    </row>
    <row r="11" ht="30" customHeight="1">
      <c r="A11" s="50" t="inlineStr">
        <is>
          <t>CP9</t>
        </is>
      </c>
      <c r="B11" s="50" t="inlineStr">
        <is>
          <t>CERRADA</t>
        </is>
      </c>
      <c r="C11" s="51" t="n"/>
      <c r="D11" s="52" t="n"/>
      <c r="E11" s="53" t="n">
        <v>45239</v>
      </c>
      <c r="F11" s="52" t="n">
        <v>6711</v>
      </c>
      <c r="G11" s="50" t="inlineStr">
        <is>
          <t>REP-ERT. 6711. 00. AA PIZAA OMAKASE PANEL ECO AND</t>
        </is>
      </c>
      <c r="H11" s="50" t="inlineStr">
        <is>
          <t>PIZZERIA OMAKASE</t>
        </is>
      </c>
      <c r="I11" s="50" t="inlineStr">
        <is>
          <t>J BLANCO</t>
        </is>
      </c>
      <c r="J11" s="50" t="inlineStr">
        <is>
          <t>Luis</t>
        </is>
      </c>
      <c r="K11" s="50" t="inlineStr">
        <is>
          <t>Error técnico</t>
        </is>
      </c>
      <c r="L11" s="50" t="e">
        <v>#REF!</v>
      </c>
      <c r="M11" s="54" t="inlineStr">
        <is>
          <t>Reposición a cliente</t>
        </is>
      </c>
      <c r="N11" s="50" t="inlineStr">
        <is>
          <t>REVISAR DISEÑOS DE CORTE</t>
        </is>
      </c>
      <c r="O11" s="47" t="inlineStr">
        <is>
          <t>4 paneles, el despiece no era correcto y por ello, no encajaban las piezas</t>
        </is>
      </c>
      <c r="P11" s="98" t="n">
        <v>0</v>
      </c>
      <c r="Q11" s="99" t="n"/>
      <c r="R11" s="99" t="n"/>
      <c r="S11" s="50" t="e">
        <v>#REF!</v>
      </c>
    </row>
    <row r="12" ht="30" customHeight="1">
      <c r="A12" s="55" t="inlineStr">
        <is>
          <t>CP10</t>
        </is>
      </c>
      <c r="B12" s="55" t="inlineStr">
        <is>
          <t>CERRADA</t>
        </is>
      </c>
      <c r="C12" s="56" t="n"/>
      <c r="E12" s="58" t="n">
        <v>45243</v>
      </c>
      <c r="F12" s="57" t="n">
        <v>4675</v>
      </c>
      <c r="G12" s="55" t="inlineStr">
        <is>
          <t>REP- EDT. 4675. 00. DECORACION K7 ECONORDIK NO IGN CL</t>
        </is>
      </c>
      <c r="H12" s="55" t="inlineStr">
        <is>
          <t>DECORACIÓN K7</t>
        </is>
      </c>
      <c r="I12" s="55" t="inlineStr">
        <is>
          <t>Jon Rioboo</t>
        </is>
      </c>
      <c r="J12" s="55" t="inlineStr">
        <is>
          <t>Mónica</t>
        </is>
      </c>
      <c r="K12" s="55" t="inlineStr">
        <is>
          <t>Error técnico</t>
        </is>
      </c>
      <c r="L12" s="55" t="e">
        <v>#REF!</v>
      </c>
      <c r="M12" s="59" t="inlineStr">
        <is>
          <t>Reposición a cliente</t>
        </is>
      </c>
      <c r="N12" s="55" t="inlineStr">
        <is>
          <t>Revisar bien y comparar ppto validado con trello</t>
        </is>
      </c>
      <c r="O12" s="46" t="inlineStr">
        <is>
          <t>2 ECOnordik roble nature-negro se han enviado en 380x590mm en vez de 2380x590mm</t>
        </is>
      </c>
      <c r="P12" s="101" t="n">
        <v>0</v>
      </c>
      <c r="Q12" s="102" t="n"/>
      <c r="R12" s="102" t="n"/>
      <c r="S12" s="55" t="e">
        <v>#REF!</v>
      </c>
    </row>
    <row r="13" ht="45" customHeight="1">
      <c r="A13" s="50" t="inlineStr">
        <is>
          <t>CP11</t>
        </is>
      </c>
      <c r="B13" s="50" t="inlineStr">
        <is>
          <t>CERRADA</t>
        </is>
      </c>
      <c r="C13" s="51" t="n"/>
      <c r="D13" s="52" t="n"/>
      <c r="E13" s="53" t="n">
        <v>45243</v>
      </c>
      <c r="F13" s="52" t="n">
        <v>2933</v>
      </c>
      <c r="G13" s="50" t="inlineStr">
        <is>
          <t>REP-ERF. 2933. 02. SALA STADT WIEN VIENA BLUE2 BESTELLUNG NR.23-00701</t>
        </is>
      </c>
      <c r="H13" s="50" t="inlineStr">
        <is>
          <t>BLUE 2</t>
        </is>
      </c>
      <c r="I13" s="50" t="inlineStr">
        <is>
          <t>Paloma</t>
        </is>
      </c>
      <c r="J13" s="50" t="inlineStr">
        <is>
          <t>Luis</t>
        </is>
      </c>
      <c r="K13" s="50" t="inlineStr">
        <is>
          <t>Color - Lote - Diferencia</t>
        </is>
      </c>
      <c r="L13" s="50" t="e">
        <v>#REF!</v>
      </c>
      <c r="M13" s="54" t="inlineStr">
        <is>
          <t>Reposición a cliente</t>
        </is>
      </c>
      <c r="N13" s="50" t="inlineStr">
        <is>
          <t>Comparar trello antes de embalar, revisar pintura</t>
        </is>
      </c>
      <c r="O13" s="47" t="inlineStr">
        <is>
          <t xml:space="preserve">Las islas se enviaron sin taco y algunas mal pintadas, además, en el transporte se rompieron algunos paneles. Repusimos más tarde de un tono diferente y ahora reponemos por completo el pedido para que queden todas iguales. </t>
        </is>
      </c>
      <c r="P13" s="98" t="n">
        <v>0</v>
      </c>
      <c r="Q13" s="99" t="n"/>
      <c r="R13" s="99" t="n"/>
      <c r="S13" s="50" t="e">
        <v>#REF!</v>
      </c>
    </row>
    <row r="14" ht="150" customHeight="1">
      <c r="A14" s="55" t="inlineStr">
        <is>
          <t>CP12</t>
        </is>
      </c>
      <c r="B14" s="55" t="inlineStr">
        <is>
          <t>CERRADA</t>
        </is>
      </c>
      <c r="C14" s="56" t="n"/>
      <c r="E14" s="58" t="n">
        <v>45246</v>
      </c>
      <c r="F14" s="57" t="n">
        <v>4716</v>
      </c>
      <c r="G14" s="55" t="inlineStr">
        <is>
          <t>REP-ERT. 4716. 00. INAD-HOC PANEL ECO Y BASIC BLANCO CAT</t>
        </is>
      </c>
      <c r="H14" s="55" t="inlineStr">
        <is>
          <t>INAD-HOC</t>
        </is>
      </c>
      <c r="I14" s="55" t="inlineStr">
        <is>
          <t>Manel</t>
        </is>
      </c>
      <c r="J14" s="55" t="inlineStr">
        <is>
          <t>Roberto</t>
        </is>
      </c>
      <c r="K14" s="55" t="inlineStr">
        <is>
          <t>Error técnico</t>
        </is>
      </c>
      <c r="L14" s="55" t="e">
        <v>#REF!</v>
      </c>
      <c r="M14" s="59" t="inlineStr">
        <is>
          <t>Reposición a cliente</t>
        </is>
      </c>
      <c r="N14" s="55" t="inlineStr">
        <is>
          <t>Revisar bien pedido cliente y cliente debe revisar la confirmacion del pedido bien.</t>
        </is>
      </c>
      <c r="O14" s="46" t="inlineStr">
        <is>
          <t>Nos pasaron este pedido con los basic en color gris perla pero como en el presupuesto que hace nuestra aplicación web los basic que sale son blanco, en el presupuesto/confirmación de pedido se puso los basic en color blanco.
Se mandó la confirmación del pedido con los basic en color blanco y vieron que el descuento era del 40% pero se ve que pactaron con Manel el 45% y pidieron rectificar ese descuento, y se hizo, pero no se dieron cuenta que ponía basic blanco, en vez de gris perla.
Se envian los 60 basic gris perla y los 60 basic blanco se aprovechan para otro cliente cercano, es decir, se facturan todos los basic, solo nos cuesta el envio de la reposicion.</t>
        </is>
      </c>
      <c r="P14" s="101" t="n">
        <v>0</v>
      </c>
      <c r="Q14" s="102" t="n"/>
      <c r="R14" s="102" t="n"/>
      <c r="S14" s="55" t="e">
        <v>#REF!</v>
      </c>
    </row>
    <row r="15" ht="30" customHeight="1">
      <c r="A15" s="50" t="inlineStr">
        <is>
          <t>CP13</t>
        </is>
      </c>
      <c r="B15" s="50" t="inlineStr">
        <is>
          <t>CERRADA</t>
        </is>
      </c>
      <c r="C15" s="51" t="n"/>
      <c r="D15" s="52" t="n"/>
      <c r="E15" s="53" t="n">
        <v>45246</v>
      </c>
      <c r="F15" s="52" t="n">
        <v>4968</v>
      </c>
      <c r="G15" s="50" t="inlineStr">
        <is>
          <t>REP-DCOM. 4968. 00. OFICINES MOBILIARI ECONORDIK ROBLE NO IG CV</t>
        </is>
      </c>
      <c r="H15" s="50" t="inlineStr">
        <is>
          <t>Oficines Mobiliari</t>
        </is>
      </c>
      <c r="I15" s="50" t="inlineStr">
        <is>
          <t>J hernandez</t>
        </is>
      </c>
      <c r="J15" s="50" t="inlineStr">
        <is>
          <t>Luis</t>
        </is>
      </c>
      <c r="K15" s="50" t="inlineStr">
        <is>
          <t>Defecto por comercial</t>
        </is>
      </c>
      <c r="L15" s="50" t="e">
        <v>#REF!</v>
      </c>
      <c r="M15" s="54" t="inlineStr">
        <is>
          <t>Cambio de paneles</t>
        </is>
      </c>
      <c r="N15" s="50" t="inlineStr">
        <is>
          <t xml:space="preserve">Confirmar comercial con el cliente </t>
        </is>
      </c>
      <c r="O15" s="47" t="inlineStr">
        <is>
          <t>Se devuelven los paneles mal y se recogen los paneles bien (2 paneles de dimensión 2380 y no 2400 como fabricado</t>
        </is>
      </c>
      <c r="P15" s="98" t="n">
        <v>0</v>
      </c>
      <c r="Q15" s="99" t="n"/>
      <c r="R15" s="99" t="n"/>
      <c r="S15" s="50" t="e">
        <v>#REF!</v>
      </c>
    </row>
    <row r="16" ht="30" customHeight="1">
      <c r="A16" s="55" t="inlineStr">
        <is>
          <t>CP14</t>
        </is>
      </c>
      <c r="B16" s="55" t="inlineStr">
        <is>
          <t>CERRADA</t>
        </is>
      </c>
      <c r="C16" s="56" t="n"/>
      <c r="E16" s="58" t="n">
        <v>45247</v>
      </c>
      <c r="F16" s="57" t="n">
        <v>4480</v>
      </c>
      <c r="G16" s="55" t="inlineStr">
        <is>
          <t>REP-DC. 4480. 00. WHOLECONTRACT SAFHOLLAND CAT</t>
        </is>
      </c>
      <c r="H16" s="55" t="inlineStr">
        <is>
          <t>Wholecontract</t>
        </is>
      </c>
      <c r="I16" s="55" t="inlineStr">
        <is>
          <t>Manel</t>
        </is>
      </c>
      <c r="J16" s="55" t="inlineStr">
        <is>
          <t>Roberto</t>
        </is>
      </c>
      <c r="K16" s="55" t="inlineStr">
        <is>
          <t>Defecto por cliente</t>
        </is>
      </c>
      <c r="L16" s="55" t="e">
        <v>#REF!</v>
      </c>
      <c r="M16" s="59" t="inlineStr">
        <is>
          <t>Reposición a cliente</t>
        </is>
      </c>
      <c r="N16" s="55" t="inlineStr">
        <is>
          <t>No cortar logo si no tiene suficiente calidad ni buscar otro</t>
        </is>
      </c>
      <c r="O16" s="46" t="inlineStr">
        <is>
          <t>El distribuidor aporto un logo de mala calidad, se busco uno similar por internet y se vectorizo. Dio el visto bueno a ese diseño y una vez instalado, al cliente no le gusto</t>
        </is>
      </c>
      <c r="P16" s="101" t="n">
        <v>0</v>
      </c>
      <c r="Q16" s="102" t="n"/>
      <c r="R16" s="102" t="n"/>
      <c r="S16" s="55" t="e">
        <v>#REF!</v>
      </c>
    </row>
    <row r="17" ht="30" customHeight="1">
      <c r="A17" s="50" t="inlineStr">
        <is>
          <t>CP15</t>
        </is>
      </c>
      <c r="B17" s="50" t="inlineStr">
        <is>
          <t>CERRADA</t>
        </is>
      </c>
      <c r="C17" s="51" t="n"/>
      <c r="D17" s="52" t="n"/>
      <c r="E17" s="53" t="n">
        <v>45247</v>
      </c>
      <c r="F17" s="52" t="n">
        <v>4540</v>
      </c>
      <c r="G17" s="50" t="inlineStr">
        <is>
          <t>REP-ERF. 4540. 00. SUIPPES_PHM IMMOBILIER_ECOCLOUD EW147_FR</t>
        </is>
      </c>
      <c r="H17" s="50" t="inlineStr">
        <is>
          <t>PHM IMMOBILIER</t>
        </is>
      </c>
      <c r="I17" s="50" t="inlineStr">
        <is>
          <t>Virginia</t>
        </is>
      </c>
      <c r="J17" s="50" t="inlineStr">
        <is>
          <t>Luis</t>
        </is>
      </c>
      <c r="K17" s="50" t="inlineStr">
        <is>
          <t>Fabricación</t>
        </is>
      </c>
      <c r="L17" s="50" t="e">
        <v>#REF!</v>
      </c>
      <c r="M17" s="54" t="inlineStr">
        <is>
          <t>Reposición a cliente</t>
        </is>
      </c>
      <c r="N17" s="50" t="inlineStr">
        <is>
          <t>REVISAR QUE LOS PANELES QUE S EPIDEN SE HAN CORTADO</t>
        </is>
      </c>
      <c r="O17" s="47" t="inlineStr">
        <is>
          <t>El cliente dice que falta un panel, en fábrica dicen que se comprobó y salieron los 8 del pedido.</t>
        </is>
      </c>
      <c r="P17" s="98" t="n">
        <v>0</v>
      </c>
      <c r="Q17" s="99" t="n"/>
      <c r="R17" s="99" t="n"/>
      <c r="S17" s="50" t="e">
        <v>#REF!</v>
      </c>
    </row>
    <row r="18" ht="30" customHeight="1">
      <c r="A18" s="55" t="inlineStr">
        <is>
          <t>CP16</t>
        </is>
      </c>
      <c r="B18" s="55" t="inlineStr">
        <is>
          <t>CERRADA</t>
        </is>
      </c>
      <c r="C18" s="56" t="n"/>
      <c r="E18" s="58" t="n">
        <v>45250</v>
      </c>
      <c r="F18" s="57" t="n">
        <v>3493</v>
      </c>
      <c r="G18" s="55" t="inlineStr">
        <is>
          <t>REP-DC 3493. 00. RCL SAICA CAT</t>
        </is>
      </c>
      <c r="H18" s="55" t="inlineStr">
        <is>
          <t>RCL</t>
        </is>
      </c>
      <c r="I18" s="55" t="inlineStr">
        <is>
          <t>Manel</t>
        </is>
      </c>
      <c r="J18" s="55" t="inlineStr">
        <is>
          <t>Roberto</t>
        </is>
      </c>
      <c r="K18" s="55" t="inlineStr">
        <is>
          <t>Defecto por cliente</t>
        </is>
      </c>
      <c r="L18" s="55" t="e">
        <v>#REF!</v>
      </c>
      <c r="M18" s="59" t="inlineStr">
        <is>
          <t>Reposición a cliente</t>
        </is>
      </c>
      <c r="N18" s="55" t="inlineStr">
        <is>
          <t>Si los datos no son completos, preguntarlo antes de fabricar</t>
        </is>
      </c>
      <c r="O18" s="46" t="inlineStr">
        <is>
          <t>El cliente no dio toda la info y se fabricó en 12 mm pero debía ser en 9mm.</t>
        </is>
      </c>
      <c r="P18" s="101" t="n">
        <v>0</v>
      </c>
      <c r="Q18" s="102" t="n"/>
      <c r="R18" s="102" t="n"/>
      <c r="S18" s="55" t="e">
        <v>#REF!</v>
      </c>
    </row>
    <row r="19" ht="30" customHeight="1">
      <c r="A19" s="50" t="inlineStr">
        <is>
          <t>CP17</t>
        </is>
      </c>
      <c r="B19" s="50" t="inlineStr">
        <is>
          <t>CERRADA</t>
        </is>
      </c>
      <c r="C19" s="51" t="n"/>
      <c r="D19" s="52" t="n"/>
      <c r="E19" s="53" t="n">
        <v>45252</v>
      </c>
      <c r="F19" s="52" t="n">
        <v>4825</v>
      </c>
      <c r="G19" s="50" t="inlineStr">
        <is>
          <t>REP-DC. 4825. 01. ACOUSTIC DRYWALL ECOWORKING &amp; BASIC FOAM &amp; ECOWALL</t>
        </is>
      </c>
      <c r="H19" s="50" t="inlineStr">
        <is>
          <t>ACOUSTIC DRYWALL</t>
        </is>
      </c>
      <c r="I19" s="50" t="inlineStr">
        <is>
          <t>-</t>
        </is>
      </c>
      <c r="J19" s="50" t="inlineStr">
        <is>
          <t>Luis</t>
        </is>
      </c>
      <c r="K19" s="50" t="inlineStr">
        <is>
          <t>Desinformación marketing</t>
        </is>
      </c>
      <c r="L19" s="50" t="e">
        <v>#REF!</v>
      </c>
      <c r="M19" s="54" t="inlineStr">
        <is>
          <t>Reposición a cliente</t>
        </is>
      </c>
      <c r="N19" s="50" t="inlineStr">
        <is>
          <t>enviar catálogo/tarifa vigente al cliente</t>
        </is>
      </c>
      <c r="O19" s="47" t="inlineStr">
        <is>
          <t>El cliente nos dijo una referencia del catálogo anterior ya que nadie le había pasado el nuevo.</t>
        </is>
      </c>
      <c r="P19" s="98" t="n">
        <v>0</v>
      </c>
      <c r="Q19" s="99" t="n"/>
      <c r="R19" s="99" t="n"/>
      <c r="S19" s="50" t="e">
        <v>#REF!</v>
      </c>
    </row>
    <row r="20" ht="30" customHeight="1">
      <c r="A20" s="55" t="inlineStr">
        <is>
          <t>CP18</t>
        </is>
      </c>
      <c r="B20" s="55" t="inlineStr">
        <is>
          <t>CERRADA</t>
        </is>
      </c>
      <c r="C20" s="56" t="n"/>
      <c r="E20" s="58" t="n">
        <v>45254</v>
      </c>
      <c r="F20" s="57" t="n">
        <v>5000</v>
      </c>
      <c r="G20" s="55" t="inlineStr">
        <is>
          <t>REP-ERT. 5000. 00. MARTINEZ TORMO RECTANGLE FOAM COLOR CV</t>
        </is>
      </c>
      <c r="H20" s="55" t="inlineStr">
        <is>
          <t>MARTINEZ TORMO</t>
        </is>
      </c>
      <c r="I20" s="55" t="inlineStr">
        <is>
          <t>Javier Hernández</t>
        </is>
      </c>
      <c r="J20" s="55" t="inlineStr">
        <is>
          <t>Luis</t>
        </is>
      </c>
      <c r="K20" s="55" t="inlineStr">
        <is>
          <t>Error técnico</t>
        </is>
      </c>
      <c r="L20" s="55" t="e">
        <v>#REF!</v>
      </c>
      <c r="M20" s="59" t="inlineStr">
        <is>
          <t>Reposición a cliente</t>
        </is>
      </c>
      <c r="N20" s="55" t="inlineStr">
        <is>
          <t>Revisar bien y comparar ppto validado con trello</t>
        </is>
      </c>
      <c r="O20" s="46" t="inlineStr">
        <is>
          <t>hice mal la tarjeta de trello, son 50ud de 500mm y puse 580mm</t>
        </is>
      </c>
      <c r="P20" s="101" t="n">
        <v>0</v>
      </c>
      <c r="Q20" s="102" t="n"/>
      <c r="R20" s="102" t="n"/>
      <c r="S20" s="55" t="e">
        <v>#REF!</v>
      </c>
    </row>
    <row r="21">
      <c r="A21" s="50" t="inlineStr">
        <is>
          <t>CP19</t>
        </is>
      </c>
      <c r="B21" s="50" t="inlineStr">
        <is>
          <t>CERRADA</t>
        </is>
      </c>
      <c r="C21" s="51" t="n"/>
      <c r="D21" s="52" t="n"/>
      <c r="E21" s="53" t="n">
        <v>45258</v>
      </c>
      <c r="F21" s="52" t="n">
        <v>4816</v>
      </c>
      <c r="G21" s="50" t="inlineStr">
        <is>
          <t>REP-IT. 4816. 00. TRACTO ECOWALL DIE CUT IT</t>
        </is>
      </c>
      <c r="H21" s="50" t="inlineStr">
        <is>
          <t>TRACTO</t>
        </is>
      </c>
      <c r="I21" s="50" t="inlineStr">
        <is>
          <t>Iciar</t>
        </is>
      </c>
      <c r="J21" s="50" t="inlineStr">
        <is>
          <t>Luis</t>
        </is>
      </c>
      <c r="K21" s="50" t="inlineStr">
        <is>
          <t>Transporte</t>
        </is>
      </c>
      <c r="L21" s="50" t="e">
        <v>#REF!</v>
      </c>
      <c r="M21" s="54" t="inlineStr">
        <is>
          <t>Reposición a cliente</t>
        </is>
      </c>
      <c r="N21" s="50" t="n"/>
      <c r="O21" s="47" t="inlineStr">
        <is>
          <t>han llegado los 4 paneles rotos</t>
        </is>
      </c>
      <c r="P21" s="98" t="n">
        <v>0</v>
      </c>
      <c r="Q21" s="99" t="n"/>
      <c r="R21" s="99" t="n"/>
      <c r="S21" s="50" t="e">
        <v>#REF!</v>
      </c>
    </row>
    <row r="22" ht="30" customHeight="1">
      <c r="A22" s="55" t="inlineStr">
        <is>
          <t>CP20</t>
        </is>
      </c>
      <c r="B22" s="55" t="inlineStr">
        <is>
          <t>CERRADA</t>
        </is>
      </c>
      <c r="C22" s="56" t="n"/>
      <c r="E22" s="58" t="n">
        <v>45259</v>
      </c>
      <c r="F22" s="57" t="n">
        <v>5318</v>
      </c>
      <c r="G22" s="55" t="inlineStr">
        <is>
          <t>REP-IT. 5318. 00. ABSOTEC EC39 M075 CYL</t>
        </is>
      </c>
      <c r="H22" s="55" t="inlineStr">
        <is>
          <t>ABSOTEC</t>
        </is>
      </c>
      <c r="I22" s="55" t="inlineStr">
        <is>
          <t>-</t>
        </is>
      </c>
      <c r="J22" s="55" t="inlineStr">
        <is>
          <t>Roberto</t>
        </is>
      </c>
      <c r="K22" s="55" t="inlineStr">
        <is>
          <t>Transporte</t>
        </is>
      </c>
      <c r="L22" s="55" t="e">
        <v>#REF!</v>
      </c>
      <c r="M22" s="59" t="inlineStr">
        <is>
          <t>Reposición a cliente</t>
        </is>
      </c>
      <c r="O22" s="46" t="inlineStr">
        <is>
          <t>Ha llegado el bulto golpeado y dañado y  uno de los paneles presentaba daños. Aparte, el pedido eran 3 panele sy han llegado 2</t>
        </is>
      </c>
      <c r="P22" s="101" t="n">
        <v>0</v>
      </c>
      <c r="Q22" s="102" t="n"/>
      <c r="R22" s="102" t="n"/>
      <c r="S22" s="55" t="e">
        <v>#REF!</v>
      </c>
    </row>
    <row r="23" ht="30" customHeight="1">
      <c r="A23" s="50" t="inlineStr">
        <is>
          <t>CP21</t>
        </is>
      </c>
      <c r="B23" s="50" t="inlineStr">
        <is>
          <t>CERRADA</t>
        </is>
      </c>
      <c r="C23" s="51" t="n"/>
      <c r="D23" s="52" t="n"/>
      <c r="E23" s="53" t="n">
        <v>45260</v>
      </c>
      <c r="F23" s="52" t="n">
        <v>4618</v>
      </c>
      <c r="G23" s="50" t="inlineStr">
        <is>
          <t>REP-ERT. 4618. 00. FERE CHAMPENOISE_PORYECTO CANE_PHM_FR</t>
        </is>
      </c>
      <c r="H23" s="50" t="inlineStr">
        <is>
          <t>PHM IMMOBILIER</t>
        </is>
      </c>
      <c r="I23" s="50" t="inlineStr">
        <is>
          <t>Virginia</t>
        </is>
      </c>
      <c r="J23" s="50" t="inlineStr">
        <is>
          <t>Luis</t>
        </is>
      </c>
      <c r="K23" s="50" t="inlineStr">
        <is>
          <t>Error técnico</t>
        </is>
      </c>
      <c r="L23" s="50" t="e">
        <v>#REF!</v>
      </c>
      <c r="M23" s="54" t="inlineStr">
        <is>
          <t>Reposición a cliente</t>
        </is>
      </c>
      <c r="N23" s="50" t="inlineStr">
        <is>
          <t>revisar los dxf dos veces antes de lanzar el pedido</t>
        </is>
      </c>
      <c r="O23" s="47" t="inlineStr">
        <is>
          <t>equivocacion en medida en dxf.</t>
        </is>
      </c>
      <c r="P23" s="98" t="n">
        <v>0</v>
      </c>
      <c r="Q23" s="99" t="n"/>
      <c r="R23" s="99" t="n"/>
      <c r="S23" s="50" t="e">
        <v>#REF!</v>
      </c>
    </row>
    <row r="24" ht="30" customHeight="1">
      <c r="A24" s="55" t="inlineStr">
        <is>
          <t>CP22</t>
        </is>
      </c>
      <c r="B24" s="55" t="inlineStr">
        <is>
          <t>CERRADA</t>
        </is>
      </c>
      <c r="C24" s="56" t="n"/>
      <c r="E24" s="58" t="n">
        <v>45261</v>
      </c>
      <c r="F24" s="57" t="n">
        <v>3360</v>
      </c>
      <c r="G24" s="55" t="inlineStr">
        <is>
          <t>REP-FC 3360. 00. DAUCO ECOCLOUDS CAMBRIDGE VALENCIA MAD</t>
        </is>
      </c>
      <c r="H24" s="55" t="inlineStr">
        <is>
          <t>DAUCO</t>
        </is>
      </c>
      <c r="I24" s="55" t="inlineStr">
        <is>
          <t xml:space="preserve">Ricardo </t>
        </is>
      </c>
      <c r="J24" s="55" t="inlineStr">
        <is>
          <t>Diego</t>
        </is>
      </c>
      <c r="K24" s="55" t="inlineStr">
        <is>
          <t>Falta Componentes</t>
        </is>
      </c>
      <c r="L24" s="55" t="e">
        <v>#REF!</v>
      </c>
      <c r="M24" s="59" t="inlineStr">
        <is>
          <t>Reposición a cliente</t>
        </is>
      </c>
      <c r="N24" s="55" t="inlineStr">
        <is>
          <t>revisar las unidades antes de enviar</t>
        </is>
      </c>
      <c r="O24" s="46" t="inlineStr">
        <is>
          <t xml:space="preserve">No se enviaron parte de los anclajes 27ud. </t>
        </is>
      </c>
      <c r="P24" s="101" t="n">
        <v>0</v>
      </c>
      <c r="Q24" s="102" t="n"/>
      <c r="R24" s="102" t="n"/>
      <c r="S24" s="55" t="e">
        <v>#REF!</v>
      </c>
    </row>
    <row r="25" ht="30" customHeight="1">
      <c r="A25" s="50" t="inlineStr">
        <is>
          <t>CP23</t>
        </is>
      </c>
      <c r="B25" s="50" t="inlineStr">
        <is>
          <t>CERRADA</t>
        </is>
      </c>
      <c r="C25" s="51" t="n"/>
      <c r="D25" s="52" t="n"/>
      <c r="E25" s="53" t="n">
        <v>45261</v>
      </c>
      <c r="F25" s="52" t="n">
        <v>4760</v>
      </c>
      <c r="G25" s="50" t="inlineStr">
        <is>
          <t>REP-DC 4760. 0. SUTEGA AUDITORIO SANTA LUCIA EXTRA MAD</t>
        </is>
      </c>
      <c r="H25" s="50" t="inlineStr">
        <is>
          <t>SUTEGA</t>
        </is>
      </c>
      <c r="I25" s="50" t="inlineStr">
        <is>
          <t>Ricardo</t>
        </is>
      </c>
      <c r="J25" s="50" t="inlineStr">
        <is>
          <t>Diego</t>
        </is>
      </c>
      <c r="K25" s="50" t="inlineStr">
        <is>
          <t>Defecto por cliente</t>
        </is>
      </c>
      <c r="L25" s="50" t="e">
        <v>#REF!</v>
      </c>
      <c r="M25" s="54" t="inlineStr">
        <is>
          <t>Reposición a cliente</t>
        </is>
      </c>
      <c r="N25" s="50" t="inlineStr">
        <is>
          <t>revisar bien cantidades solicitadas por cliente</t>
        </is>
      </c>
      <c r="O25" s="47" t="inlineStr">
        <is>
          <t>Han pedido una pieza y por medición de cliente faltaron 2 piezas de flap</t>
        </is>
      </c>
      <c r="P25" s="98" t="n">
        <v>0</v>
      </c>
      <c r="Q25" s="99" t="n"/>
      <c r="R25" s="99" t="n"/>
      <c r="S25" s="50" t="e">
        <v>#REF!</v>
      </c>
    </row>
    <row r="26" ht="30" customHeight="1">
      <c r="A26" s="55" t="inlineStr">
        <is>
          <t>CP24</t>
        </is>
      </c>
      <c r="B26" s="55" t="inlineStr">
        <is>
          <t>CERRADA</t>
        </is>
      </c>
      <c r="C26" s="56" t="n"/>
      <c r="E26" s="58" t="n">
        <v>45264</v>
      </c>
      <c r="F26" s="57" t="n">
        <v>4781</v>
      </c>
      <c r="G26" s="55" t="inlineStr">
        <is>
          <t>REP-DC 4781. 00.ALUINTER ECOWALL V-CUT CAT</t>
        </is>
      </c>
      <c r="H26" s="55" t="inlineStr">
        <is>
          <t>ALUINTER</t>
        </is>
      </c>
      <c r="I26" s="55" t="inlineStr">
        <is>
          <t>Manel</t>
        </is>
      </c>
      <c r="J26" s="55" t="inlineStr">
        <is>
          <t>Roberto</t>
        </is>
      </c>
      <c r="K26" s="55" t="inlineStr">
        <is>
          <t>Defecto por cliente</t>
        </is>
      </c>
      <c r="L26" s="55" t="e">
        <v>#REF!</v>
      </c>
      <c r="M26" s="59" t="inlineStr">
        <is>
          <t>Reposición a cliente</t>
        </is>
      </c>
      <c r="N26" s="55" t="inlineStr">
        <is>
          <t>EL CLIENTE DEBE REVISAR EL DISEÑO</t>
        </is>
      </c>
      <c r="O26" s="46" t="inlineStr">
        <is>
          <t>Se mando el diseño de como iban a ser cortados los paneles, y el cliente dio una respuesta confusa, se le advirtio que iban a ser cortado como estaban en el pdf y ya no respondio.</t>
        </is>
      </c>
      <c r="P26" s="101" t="n">
        <v>0</v>
      </c>
      <c r="Q26" s="102" t="n"/>
      <c r="R26" s="102" t="n"/>
      <c r="S26" s="55" t="e">
        <v>#REF!</v>
      </c>
    </row>
    <row r="27" ht="30" customHeight="1">
      <c r="A27" s="50" t="inlineStr">
        <is>
          <t>CP25</t>
        </is>
      </c>
      <c r="B27" s="50" t="inlineStr">
        <is>
          <t>CERRADA</t>
        </is>
      </c>
      <c r="C27" s="51" t="n"/>
      <c r="D27" s="52" t="n"/>
      <c r="E27" s="53" t="n">
        <v>45264</v>
      </c>
      <c r="F27" s="52" t="n">
        <v>1669</v>
      </c>
      <c r="G27" s="50" t="inlineStr">
        <is>
          <t>REP-DC 1669. 09. TETRIS UAX ARAPILES 13 V2 MAD</t>
        </is>
      </c>
      <c r="H27" s="50" t="inlineStr">
        <is>
          <t>TETRIS</t>
        </is>
      </c>
      <c r="I27" s="50" t="inlineStr">
        <is>
          <t>RICARDO</t>
        </is>
      </c>
      <c r="J27" s="50" t="inlineStr">
        <is>
          <t>Diego</t>
        </is>
      </c>
      <c r="K27" s="50" t="inlineStr">
        <is>
          <t>Defecto por cliente</t>
        </is>
      </c>
      <c r="L27" s="50" t="e">
        <v>#REF!</v>
      </c>
      <c r="M27" s="54" t="inlineStr">
        <is>
          <t>Reposición a cliente</t>
        </is>
      </c>
      <c r="N27" s="50" t="inlineStr">
        <is>
          <t>Revisión de medición</t>
        </is>
      </c>
      <c r="O27" s="47" t="inlineStr">
        <is>
          <t>Un panel no llegaba al final de la pared y rellenaron con restos la junta.</t>
        </is>
      </c>
      <c r="P27" s="98" t="n">
        <v>0</v>
      </c>
      <c r="Q27" s="99" t="n"/>
      <c r="R27" s="99" t="n"/>
      <c r="S27" s="50" t="e">
        <v>#REF!</v>
      </c>
    </row>
    <row r="28" ht="45" customHeight="1">
      <c r="A28" s="55" t="inlineStr">
        <is>
          <t>CP26</t>
        </is>
      </c>
      <c r="B28" s="55" t="inlineStr">
        <is>
          <t>CERRADA</t>
        </is>
      </c>
      <c r="C28" s="56" t="n"/>
      <c r="E28" s="58" t="n">
        <v>45271</v>
      </c>
      <c r="F28" s="57" t="n">
        <v>5136</v>
      </c>
      <c r="G28" s="55" t="inlineStr">
        <is>
          <t>REP-ERT 5136. 00. TETRIS SK PASEO CASTELLANA 35 MAD</t>
        </is>
      </c>
      <c r="H28" s="55" t="inlineStr">
        <is>
          <t>TETRIS</t>
        </is>
      </c>
      <c r="I28" s="55" t="inlineStr">
        <is>
          <t>RICARDO</t>
        </is>
      </c>
      <c r="J28" s="55" t="inlineStr">
        <is>
          <t>Diego</t>
        </is>
      </c>
      <c r="K28" s="55" t="inlineStr">
        <is>
          <t>Error técnico</t>
        </is>
      </c>
      <c r="L28" s="55" t="e">
        <v>#REF!</v>
      </c>
      <c r="M28" s="59" t="inlineStr">
        <is>
          <t>Reposición a cliente</t>
        </is>
      </c>
      <c r="N28" s="55" t="inlineStr">
        <is>
          <t>Revisión de cantidad de paneles presu y albarán</t>
        </is>
      </c>
      <c r="O28" s="46" t="inlineStr">
        <is>
          <t xml:space="preserve"> (6 paneles no se enviaron) Se me ha colado un número en el texto de Autocad a la hora de indicar el nº de veces que se repite  un panel y solo se ha fabricado 1 cuando eran 4 +8pintura +2 piezas de dimensión errónea en 1 panel)</t>
        </is>
      </c>
      <c r="P28" s="101" t="n">
        <v>0</v>
      </c>
      <c r="Q28" s="102" t="n"/>
      <c r="R28" s="102" t="n"/>
      <c r="S28" s="55" t="e">
        <v>#REF!</v>
      </c>
    </row>
    <row r="29" ht="30" customHeight="1">
      <c r="A29" s="50" t="inlineStr">
        <is>
          <t>CP27</t>
        </is>
      </c>
      <c r="B29" s="50" t="inlineStr">
        <is>
          <t>CERRADA</t>
        </is>
      </c>
      <c r="C29" s="51" t="n"/>
      <c r="D29" s="52" t="n"/>
      <c r="E29" s="53" t="n">
        <v>45273</v>
      </c>
      <c r="F29" s="52" t="n">
        <v>5055</v>
      </c>
      <c r="G29" s="50" t="inlineStr">
        <is>
          <t>REP-ERT 5055. 00. DIATERM BASIC REGULAR CAT</t>
        </is>
      </c>
      <c r="H29" s="50" t="inlineStr">
        <is>
          <t>DIATERM</t>
        </is>
      </c>
      <c r="I29" s="50" t="inlineStr">
        <is>
          <t>MANEL</t>
        </is>
      </c>
      <c r="J29" s="50" t="inlineStr">
        <is>
          <t>Mónica</t>
        </is>
      </c>
      <c r="K29" s="50" t="inlineStr">
        <is>
          <t>Error técnico</t>
        </is>
      </c>
      <c r="L29" s="50" t="e">
        <v>#REF!</v>
      </c>
      <c r="M29" s="54" t="inlineStr">
        <is>
          <t>Reposición a cliente</t>
        </is>
      </c>
      <c r="N29" s="50" t="inlineStr">
        <is>
          <t>Se ha cambiado el proceso de crear la tarjeta en trello</t>
        </is>
      </c>
      <c r="O29" s="47" t="inlineStr">
        <is>
          <t>En CLASSICGES eran basic pintados pero en trello se puso que eran blancos</t>
        </is>
      </c>
      <c r="P29" s="98" t="n">
        <v>0</v>
      </c>
      <c r="Q29" s="99" t="n"/>
      <c r="R29" s="99" t="n"/>
      <c r="S29" s="50" t="e">
        <v>#REF!</v>
      </c>
    </row>
    <row r="30" ht="30" customHeight="1">
      <c r="A30" s="55" t="inlineStr">
        <is>
          <t>CP28</t>
        </is>
      </c>
      <c r="B30" s="55" t="inlineStr">
        <is>
          <t>CERRADA</t>
        </is>
      </c>
      <c r="C30" s="56" t="n"/>
      <c r="E30" s="58" t="n">
        <v>45273</v>
      </c>
      <c r="F30" s="57" t="n">
        <v>4853</v>
      </c>
      <c r="G30" s="55" t="inlineStr">
        <is>
          <t>REP-ERF. 4853. 00. BIGARA ECONORDIK IGN ECOBASIC PV</t>
        </is>
      </c>
      <c r="H30" s="55" t="inlineStr">
        <is>
          <t>BIGARA</t>
        </is>
      </c>
      <c r="I30" s="55" t="inlineStr">
        <is>
          <t>Jon Rioboo</t>
        </is>
      </c>
      <c r="J30" s="55" t="inlineStr">
        <is>
          <t>SANDRA</t>
        </is>
      </c>
      <c r="K30" s="55" t="inlineStr">
        <is>
          <t>Fabricación</t>
        </is>
      </c>
      <c r="L30" s="55" t="e">
        <v>#REF!</v>
      </c>
      <c r="M30" s="59" t="inlineStr">
        <is>
          <t>Reposición a cliente</t>
        </is>
      </c>
      <c r="N30" s="55" t="inlineStr">
        <is>
          <t>Revisar bien los paneles que se envían</t>
        </is>
      </c>
      <c r="O30" s="46" t="inlineStr">
        <is>
          <t>Se han pedido paneles IGN y han recibido todos IGN menos uno NO IGN (otro espesor DM)</t>
        </is>
      </c>
      <c r="P30" s="101" t="n">
        <v>0</v>
      </c>
      <c r="Q30" s="102" t="n"/>
      <c r="R30" s="102" t="n"/>
      <c r="S30" s="55" t="e">
        <v>#REF!</v>
      </c>
    </row>
    <row r="31" ht="30" customHeight="1">
      <c r="A31" s="50" t="inlineStr">
        <is>
          <t>CP29</t>
        </is>
      </c>
      <c r="B31" s="50" t="inlineStr">
        <is>
          <t>CERRADA</t>
        </is>
      </c>
      <c r="C31" s="51" t="n"/>
      <c r="D31" s="52" t="n"/>
      <c r="E31" s="53" t="n">
        <v>45275</v>
      </c>
      <c r="F31" s="52" t="n">
        <v>4558</v>
      </c>
      <c r="G31" s="50" t="inlineStr">
        <is>
          <t>REP-ERF. 4558. 00. ANTONIO JOSE MURILLO ECONORDIK CV</t>
        </is>
      </c>
      <c r="H31" s="50" t="inlineStr">
        <is>
          <t>ANTONIO MURILLO</t>
        </is>
      </c>
      <c r="I31" s="50" t="inlineStr">
        <is>
          <t>Javier Hernández</t>
        </is>
      </c>
      <c r="J31" s="50" t="inlineStr">
        <is>
          <t>Luis</t>
        </is>
      </c>
      <c r="K31" s="50" t="inlineStr">
        <is>
          <t>Fabricación</t>
        </is>
      </c>
      <c r="L31" s="50" t="e">
        <v>#REF!</v>
      </c>
      <c r="M31" s="54" t="inlineStr">
        <is>
          <t>Reposición a cliente</t>
        </is>
      </c>
      <c r="N31" s="50" t="inlineStr">
        <is>
          <t>Revisar bien los paneles que se envían</t>
        </is>
      </c>
      <c r="O31" s="47" t="inlineStr">
        <is>
          <t>Lamas de DM abiertas por el centro. (Revisar el DM en montaje y en embalaje) También ver con el cliente que lo haya manipulado correctamente.</t>
        </is>
      </c>
      <c r="P31" s="98" t="n">
        <v>0</v>
      </c>
      <c r="Q31" s="99" t="n"/>
      <c r="R31" s="99" t="n"/>
      <c r="S31" s="50" t="e">
        <v>#REF!</v>
      </c>
    </row>
    <row r="32" ht="60" customHeight="1">
      <c r="A32" s="55" t="inlineStr">
        <is>
          <t>CP30</t>
        </is>
      </c>
      <c r="B32" s="55" t="inlineStr">
        <is>
          <t>CERRADA</t>
        </is>
      </c>
      <c r="C32" s="56" t="n"/>
      <c r="E32" s="58" t="n">
        <v>45275</v>
      </c>
      <c r="F32" s="57" t="n">
        <v>3593</v>
      </c>
      <c r="G32" s="55" t="inlineStr">
        <is>
          <t>REP-ERF 3593. 00. INSTALDECO SEIDOR PUJADES CAT</t>
        </is>
      </c>
      <c r="H32" s="55" t="inlineStr">
        <is>
          <t>INSTALDECO</t>
        </is>
      </c>
      <c r="I32" s="55" t="inlineStr">
        <is>
          <t>Manel</t>
        </is>
      </c>
      <c r="J32" s="55" t="inlineStr">
        <is>
          <t>Roberto</t>
        </is>
      </c>
      <c r="K32" s="55" t="inlineStr">
        <is>
          <t>Fabricación</t>
        </is>
      </c>
      <c r="L32" s="55" t="e">
        <v>#REF!</v>
      </c>
      <c r="M32" s="59" t="inlineStr">
        <is>
          <t>Reposición a cliente</t>
        </is>
      </c>
      <c r="N32" s="55" t="inlineStr">
        <is>
          <t>Revisar bien los paneles que se envían</t>
        </is>
      </c>
      <c r="O32" s="46" t="inlineStr">
        <is>
          <t>El pedido eran 2 fases que se fabricaron a la vez y se empaquetaron. Se envio la fase 1 y se detecto que llego material con el borde quemado y nadie pensó que podría haber pasado tambien en la fase 2. Al enviar la fase 2, como ya estaba empaquetada, no se comproboó y se ha detectado bordes quemados en la obra.</t>
        </is>
      </c>
      <c r="P32" s="101" t="n">
        <v>0</v>
      </c>
      <c r="Q32" s="102" t="n"/>
      <c r="R32" s="102" t="n"/>
      <c r="S32" s="55" t="e">
        <v>#REF!</v>
      </c>
    </row>
    <row r="33" ht="45" customHeight="1">
      <c r="A33" s="50" t="inlineStr">
        <is>
          <t>CP31</t>
        </is>
      </c>
      <c r="B33" s="50" t="inlineStr">
        <is>
          <t>CERRADA</t>
        </is>
      </c>
      <c r="C33" s="51" t="n"/>
      <c r="D33" s="52" t="n"/>
      <c r="E33" s="53" t="n">
        <v>45280</v>
      </c>
      <c r="F33" s="52" t="n">
        <v>4928</v>
      </c>
      <c r="G33" s="50" t="inlineStr">
        <is>
          <t>4928. 00. DBCOVER IT_FERRAGAMO_ECOCONTRACT MILANO_ECONORDIK</t>
        </is>
      </c>
      <c r="H33" s="50" t="inlineStr">
        <is>
          <t>DB COVER</t>
        </is>
      </c>
      <c r="I33" s="50" t="inlineStr">
        <is>
          <t>Iciar</t>
        </is>
      </c>
      <c r="J33" s="50" t="inlineStr">
        <is>
          <t>Luis</t>
        </is>
      </c>
      <c r="K33" s="50" t="inlineStr">
        <is>
          <t>Fabricación</t>
        </is>
      </c>
      <c r="L33" s="50" t="e">
        <v>#REF!</v>
      </c>
      <c r="M33" s="54" t="inlineStr">
        <is>
          <t>Cargo a ECOcero</t>
        </is>
      </c>
      <c r="N33" s="50" t="inlineStr">
        <is>
          <t>Se implanta Autocontrol en producción</t>
        </is>
      </c>
      <c r="O33" s="47" t="inlineStr">
        <is>
          <t>Se sueltan los listones - Se usaron grapas incorrectas para trasera de 12mm. La grapa usada es para trasera de 9. De momento no hay que reponer</t>
        </is>
      </c>
      <c r="P33" s="98" t="n">
        <v>0</v>
      </c>
      <c r="Q33" s="99" t="n"/>
      <c r="R33" s="99" t="n"/>
      <c r="S33" s="50" t="e">
        <v>#REF!</v>
      </c>
    </row>
    <row r="34" ht="30" customHeight="1">
      <c r="A34" s="55" t="inlineStr">
        <is>
          <t>CP32</t>
        </is>
      </c>
      <c r="B34" s="55" t="inlineStr">
        <is>
          <t>CERRADA</t>
        </is>
      </c>
      <c r="C34" s="56" t="n"/>
      <c r="E34" s="58" t="n">
        <v>45280</v>
      </c>
      <c r="F34" s="57" t="n">
        <v>3194</v>
      </c>
      <c r="G34" s="55" t="inlineStr">
        <is>
          <t>REP-ERF. 3194. 00. BELIOS TSYSTEM FASE 2 AND</t>
        </is>
      </c>
      <c r="H34" s="55" t="inlineStr">
        <is>
          <t>belios</t>
        </is>
      </c>
      <c r="I34" s="55" t="inlineStr">
        <is>
          <t>-</t>
        </is>
      </c>
      <c r="J34" s="55" t="inlineStr">
        <is>
          <t>Luis</t>
        </is>
      </c>
      <c r="K34" s="55" t="inlineStr">
        <is>
          <t>Fabricación</t>
        </is>
      </c>
      <c r="L34" s="55" t="e">
        <v>#REF!</v>
      </c>
      <c r="M34" s="59" t="inlineStr">
        <is>
          <t>Reposición a cliente</t>
        </is>
      </c>
      <c r="N34" s="55" t="inlineStr">
        <is>
          <t>estudiar la posbilidad de procesar las lineas de corte entre autocad y programa maquina</t>
        </is>
      </c>
      <c r="O34" s="46" t="inlineStr">
        <is>
          <t>se han hecho cantos biselados en vez de rectos</t>
        </is>
      </c>
      <c r="P34" s="101" t="n">
        <v>0</v>
      </c>
      <c r="Q34" s="102" t="n"/>
      <c r="R34" s="102" t="n"/>
      <c r="S34" s="55" t="e">
        <v>#REF!</v>
      </c>
    </row>
    <row r="35" ht="45" customHeight="1">
      <c r="A35" s="50" t="inlineStr">
        <is>
          <t>CP33</t>
        </is>
      </c>
      <c r="B35" s="50" t="inlineStr">
        <is>
          <t>CERRADA</t>
        </is>
      </c>
      <c r="C35" s="51" t="n"/>
      <c r="D35" s="52" t="n"/>
      <c r="E35" s="53" t="n">
        <v>45282</v>
      </c>
      <c r="F35" s="52" t="n">
        <v>3897</v>
      </c>
      <c r="G35" s="50" t="inlineStr">
        <is>
          <t>REP-ERF. 3897. 06. OFICINA GRÜNEWALD_STAINZ_GRÜNEWALD_ECOWALL VCUT</t>
        </is>
      </c>
      <c r="H35" s="50" t="inlineStr">
        <is>
          <t>Grünewald</t>
        </is>
      </c>
      <c r="I35" s="50" t="inlineStr">
        <is>
          <t>Paloma</t>
        </is>
      </c>
      <c r="J35" s="50" t="inlineStr">
        <is>
          <t>Rashli</t>
        </is>
      </c>
      <c r="K35" s="50" t="inlineStr">
        <is>
          <t>Fabricación</t>
        </is>
      </c>
      <c r="L35" s="50" t="e">
        <v>#REF!</v>
      </c>
      <c r="M35" s="54" t="inlineStr">
        <is>
          <t>Reposición a cliente</t>
        </is>
      </c>
      <c r="N35" s="50" t="inlineStr">
        <is>
          <t>Revisar pedido antes de enviar</t>
        </is>
      </c>
      <c r="O35" s="47" t="inlineStr">
        <is>
          <t>Ha faltado un panel en destino. El panel estaba en el dxf y producción tiene marcadas todas las unidades en la ficha de producción-calidad</t>
        </is>
      </c>
      <c r="P35" s="98" t="n">
        <v>0</v>
      </c>
      <c r="Q35" s="99" t="n"/>
      <c r="R35" s="99" t="n"/>
      <c r="S35" s="50" t="e">
        <v>#REF!</v>
      </c>
    </row>
    <row r="36">
      <c r="A36" s="55" t="inlineStr">
        <is>
          <t>CP34</t>
        </is>
      </c>
      <c r="B36" s="55" t="inlineStr">
        <is>
          <t>CERRADA</t>
        </is>
      </c>
      <c r="C36" s="56" t="n"/>
      <c r="E36" s="58" t="n">
        <v>45286</v>
      </c>
      <c r="F36" s="57" t="n">
        <v>4265</v>
      </c>
      <c r="G36" s="55" t="inlineStr">
        <is>
          <t>REP-COM 4265. 00. TORAX ECOWALL V-CUT CAT</t>
        </is>
      </c>
      <c r="H36" s="55" t="inlineStr">
        <is>
          <t>Torax</t>
        </is>
      </c>
      <c r="I36" s="55" t="inlineStr">
        <is>
          <t>Manel</t>
        </is>
      </c>
      <c r="J36" s="55" t="inlineStr">
        <is>
          <t>Roberto</t>
        </is>
      </c>
      <c r="K36" s="55" t="inlineStr">
        <is>
          <t>Defecto por comercial</t>
        </is>
      </c>
      <c r="L36" s="55" t="e">
        <v>#REF!</v>
      </c>
      <c r="M36" s="59" t="inlineStr">
        <is>
          <t>Reposición a cliente y recogida</t>
        </is>
      </c>
      <c r="N36" s="55" t="inlineStr">
        <is>
          <t>El comercial debe pasar el pedido correctamente</t>
        </is>
      </c>
      <c r="O36" s="46" t="inlineStr">
        <is>
          <t>El comercial se equivoco de color al hacer el pedido 6 ECOwall biselado</t>
        </is>
      </c>
      <c r="P36" s="101" t="n">
        <v>0</v>
      </c>
      <c r="Q36" s="102" t="n"/>
      <c r="R36" s="102" t="n"/>
      <c r="S36" s="55" t="e">
        <v>#REF!</v>
      </c>
    </row>
    <row r="37" ht="30" customHeight="1">
      <c r="A37" s="60" t="inlineStr">
        <is>
          <t>CP35</t>
        </is>
      </c>
      <c r="B37" s="50" t="inlineStr">
        <is>
          <t>CERRADA</t>
        </is>
      </c>
      <c r="C37" s="61" t="n"/>
      <c r="D37" s="62" t="n"/>
      <c r="E37" s="63" t="n">
        <v>45287</v>
      </c>
      <c r="F37" s="62" t="n">
        <v>3162</v>
      </c>
      <c r="G37" s="60" t="inlineStr">
        <is>
          <t>REP-DC. 3162. 00. DOROTEA PROYECTO METROVACESA MAD</t>
        </is>
      </c>
      <c r="H37" s="60" t="inlineStr">
        <is>
          <t>Dorotea</t>
        </is>
      </c>
      <c r="I37" s="60" t="inlineStr">
        <is>
          <t>Juanjo</t>
        </is>
      </c>
      <c r="J37" s="50" t="inlineStr">
        <is>
          <t>Diego</t>
        </is>
      </c>
      <c r="K37" s="60" t="inlineStr">
        <is>
          <t>Defecto por cliente</t>
        </is>
      </c>
      <c r="L37" s="60" t="e">
        <v>#REF!</v>
      </c>
      <c r="M37" s="64" t="inlineStr">
        <is>
          <t>Reposición a cliente</t>
        </is>
      </c>
      <c r="N37" s="60" t="inlineStr">
        <is>
          <t>que se fijen mas en pedir las cosas</t>
        </is>
      </c>
      <c r="O37" s="65" t="inlineStr">
        <is>
          <t>3 paneles Pidieron paneles completos y al instalarlos no lo hicieron bien en los recortes y las piezas inferiores no quedó bien.</t>
        </is>
      </c>
      <c r="P37" s="98" t="n">
        <v>0</v>
      </c>
      <c r="Q37" s="66" t="n"/>
      <c r="R37" s="66" t="n"/>
      <c r="S37" s="60" t="e">
        <v>#REF!</v>
      </c>
    </row>
    <row r="38" ht="30" customHeight="1">
      <c r="A38" s="55" t="inlineStr">
        <is>
          <t>CP36</t>
        </is>
      </c>
      <c r="B38" s="55" t="inlineStr">
        <is>
          <t>CERRADA</t>
        </is>
      </c>
      <c r="C38" s="56" t="n"/>
      <c r="E38" s="58" t="n">
        <v>45287</v>
      </c>
      <c r="F38" s="57" t="n">
        <v>4545</v>
      </c>
      <c r="G38" s="55" t="inlineStr">
        <is>
          <t>REP-CO. 4545. 00. LA PREEMINENTE ECOBASIC CAT</t>
        </is>
      </c>
      <c r="H38" s="55" t="inlineStr">
        <is>
          <t>PREEMINENTE</t>
        </is>
      </c>
      <c r="I38" s="55" t="inlineStr">
        <is>
          <t>Manel</t>
        </is>
      </c>
      <c r="J38" s="55" t="inlineStr">
        <is>
          <t>Roberto</t>
        </is>
      </c>
      <c r="K38" s="55" t="inlineStr">
        <is>
          <t>Color - Lote - Diferencia</t>
        </is>
      </c>
      <c r="L38" s="55" t="e">
        <v>#REF!</v>
      </c>
      <c r="M38" s="59" t="inlineStr">
        <is>
          <t>Reposición a cliente</t>
        </is>
      </c>
      <c r="N38" s="55" t="inlineStr">
        <is>
          <t>REVISAR LOS PANELES ANTES DE CORTAR</t>
        </is>
      </c>
      <c r="O38" s="46" t="inlineStr">
        <is>
          <t xml:space="preserve">líneas horizontales que se marcan con la iluminación 15 ECObasic </t>
        </is>
      </c>
      <c r="P38" s="101" t="n">
        <v>0</v>
      </c>
      <c r="Q38" s="102" t="n"/>
      <c r="R38" s="102" t="n"/>
      <c r="S38" s="55" t="e">
        <v>#REF!</v>
      </c>
    </row>
    <row r="39" ht="15.75" customHeight="1" thickBot="1">
      <c r="A39" s="67" t="inlineStr">
        <is>
          <t>CP37</t>
        </is>
      </c>
      <c r="B39" s="50" t="inlineStr">
        <is>
          <t>CERRADA</t>
        </is>
      </c>
      <c r="C39" s="68" t="n"/>
      <c r="D39" s="69" t="n"/>
      <c r="E39" s="70" t="n">
        <v>45288</v>
      </c>
      <c r="F39" s="69" t="n">
        <v>4816</v>
      </c>
      <c r="G39" s="67" t="inlineStr">
        <is>
          <t>REP-IT2. 4816. 00. TRACTO ECOWALL DIE CUT IT</t>
        </is>
      </c>
      <c r="H39" s="67" t="inlineStr">
        <is>
          <t>TRACTO</t>
        </is>
      </c>
      <c r="I39" s="67" t="inlineStr">
        <is>
          <t>Iciar</t>
        </is>
      </c>
      <c r="J39" s="67" t="inlineStr">
        <is>
          <t>luis</t>
        </is>
      </c>
      <c r="K39" s="67" t="inlineStr">
        <is>
          <t>Transporte</t>
        </is>
      </c>
      <c r="L39" s="67" t="e">
        <v>#REF!</v>
      </c>
      <c r="M39" s="71" t="inlineStr">
        <is>
          <t>Reposición a cliente</t>
        </is>
      </c>
      <c r="N39" s="67" t="inlineStr">
        <is>
          <t>Hacer protección con retales</t>
        </is>
      </c>
      <c r="O39" s="72" t="inlineStr">
        <is>
          <t>han llegado de nuevo 2 de los 4 paneles rotos</t>
        </is>
      </c>
      <c r="P39" s="73" t="n">
        <v>0</v>
      </c>
      <c r="Q39" s="74" t="n"/>
      <c r="R39" s="74" t="n"/>
      <c r="S39" s="67" t="e">
        <v>#REF!</v>
      </c>
    </row>
    <row r="40" ht="30" customHeight="1">
      <c r="A40" s="55" t="inlineStr">
        <is>
          <t>CP38</t>
        </is>
      </c>
      <c r="B40" s="55" t="inlineStr">
        <is>
          <t>CERRADA</t>
        </is>
      </c>
      <c r="C40" s="56" t="n"/>
      <c r="E40" s="58" t="n">
        <v>45293</v>
      </c>
      <c r="F40" s="57" t="n">
        <v>5157</v>
      </c>
      <c r="G40" s="55" t="inlineStr">
        <is>
          <t>REP-MP. 5157. 00. STEELCASE ECONORDIK TECHNIP GAUDI EXTRA MAD</t>
        </is>
      </c>
      <c r="H40" s="55" t="inlineStr">
        <is>
          <t>STEELCASE</t>
        </is>
      </c>
      <c r="I40" s="55" t="inlineStr">
        <is>
          <t>Ricardo</t>
        </is>
      </c>
      <c r="J40" s="55" t="inlineStr">
        <is>
          <t>Rashli</t>
        </is>
      </c>
      <c r="K40" s="55" t="inlineStr">
        <is>
          <t>Error técnico</t>
        </is>
      </c>
      <c r="L40" s="55" t="e">
        <v>#REF!</v>
      </c>
      <c r="M40" s="59" t="inlineStr">
        <is>
          <t>Revisión en la recepción</t>
        </is>
      </c>
      <c r="N40" s="55" t="inlineStr">
        <is>
          <t>Revisión de albarán-pedido Trello que coincida</t>
        </is>
      </c>
      <c r="O40" s="46" t="inlineStr">
        <is>
          <t>Se han fabricado ROBLE WHITE porque en pedido ponía ROBLE WHITE y así se puso en TRELLO, aunque siempre se había hablado de ROBLE y en classicges y albaran.</t>
        </is>
      </c>
      <c r="P40" s="101" t="n">
        <v>0</v>
      </c>
      <c r="Q40" s="102" t="n"/>
      <c r="R40" s="102" t="n"/>
      <c r="S40" s="55" t="e">
        <v>#REF!</v>
      </c>
    </row>
    <row r="41" ht="30" customHeight="1">
      <c r="A41" s="50" t="inlineStr">
        <is>
          <t>CP39</t>
        </is>
      </c>
      <c r="B41" s="50" t="inlineStr">
        <is>
          <t>CERRADA</t>
        </is>
      </c>
      <c r="C41" s="51" t="n"/>
      <c r="D41" s="52" t="n"/>
      <c r="E41" s="53" t="n">
        <v>45296</v>
      </c>
      <c r="F41" s="52" t="n">
        <v>5373</v>
      </c>
      <c r="G41" s="50" t="inlineStr">
        <is>
          <t>REP-IT. 5373. 02. ECHARRI OFICINA MADERAS PORTU FASE I PV</t>
        </is>
      </c>
      <c r="H41" s="50" t="inlineStr">
        <is>
          <t>ECHARRI</t>
        </is>
      </c>
      <c r="I41" s="50" t="inlineStr">
        <is>
          <t>Jon Rioboo</t>
        </is>
      </c>
      <c r="J41" s="50" t="inlineStr">
        <is>
          <t>Sandra</t>
        </is>
      </c>
      <c r="K41" s="50" t="inlineStr">
        <is>
          <t>Transporte</t>
        </is>
      </c>
      <c r="L41" s="50" t="e">
        <v>#REF!</v>
      </c>
      <c r="M41" s="54" t="inlineStr">
        <is>
          <t>Reposición a cliente</t>
        </is>
      </c>
      <c r="N41" s="50" t="inlineStr">
        <is>
          <t>Reponer y recoger la mercancía deteriorada</t>
        </is>
      </c>
      <c r="O41" s="47" t="inlineStr">
        <is>
          <t>Mercancía pisada, rota y sucia. Reponer 3 paneles (pedido completo)</t>
        </is>
      </c>
      <c r="P41" s="98" t="n">
        <v>0</v>
      </c>
      <c r="Q41" s="99" t="n"/>
      <c r="R41" s="99" t="n"/>
      <c r="S41" s="50" t="e">
        <v>#REF!</v>
      </c>
    </row>
    <row r="42" ht="30" customHeight="1">
      <c r="A42" s="55" t="inlineStr">
        <is>
          <t>CP40</t>
        </is>
      </c>
      <c r="B42" s="55" t="inlineStr">
        <is>
          <t>CERRADA</t>
        </is>
      </c>
      <c r="C42" s="56" t="n"/>
      <c r="E42" s="58" t="n">
        <v>45299</v>
      </c>
      <c r="F42" s="57" t="n">
        <v>5263</v>
      </c>
      <c r="G42" s="55" t="inlineStr">
        <is>
          <t>REP-ERT. 5263. 00. BOHR_PROISOPHONY_ECOCLOUD_FR</t>
        </is>
      </c>
      <c r="H42" s="55" t="inlineStr">
        <is>
          <t>PRO ISOPHONY</t>
        </is>
      </c>
      <c r="I42" s="55" t="inlineStr">
        <is>
          <t>Virginia</t>
        </is>
      </c>
      <c r="J42" s="55" t="inlineStr">
        <is>
          <t>Rashli</t>
        </is>
      </c>
      <c r="K42" s="55" t="inlineStr">
        <is>
          <t>Error técnico</t>
        </is>
      </c>
      <c r="L42" s="55" t="e">
        <v>#REF!</v>
      </c>
      <c r="M42" s="59" t="inlineStr">
        <is>
          <t>Reposición a cliente</t>
        </is>
      </c>
      <c r="N42" s="55" t="inlineStr">
        <is>
          <t>Formar el equipo de que ese producto siempre lleva tacos</t>
        </is>
      </c>
      <c r="O42" s="46" t="inlineStr">
        <is>
          <t xml:space="preserve">Han llegado las islas sin los tacos </t>
        </is>
      </c>
      <c r="P42" s="101" t="n">
        <v>0</v>
      </c>
      <c r="Q42" s="102" t="n"/>
      <c r="R42" s="102" t="n"/>
      <c r="S42" s="55" t="e">
        <v>#REF!</v>
      </c>
    </row>
    <row r="43" ht="30" customHeight="1">
      <c r="A43" s="50" t="inlineStr">
        <is>
          <t>CP41</t>
        </is>
      </c>
      <c r="B43" s="50" t="inlineStr">
        <is>
          <t>CERRADA</t>
        </is>
      </c>
      <c r="C43" s="51" t="n"/>
      <c r="D43" s="52" t="n"/>
      <c r="E43" s="53" t="n">
        <v>45299</v>
      </c>
      <c r="F43" s="52" t="n">
        <v>557</v>
      </c>
      <c r="G43" s="50" t="inlineStr">
        <is>
          <t>REP-ERF. 557. 07. VANITY DYNASTY ECOCLOUD &amp; QUIET PT</t>
        </is>
      </c>
      <c r="H43" s="50" t="inlineStr">
        <is>
          <t>VANITY DYNASTY</t>
        </is>
      </c>
      <c r="I43" s="50" t="inlineStr">
        <is>
          <t>Paulo</t>
        </is>
      </c>
      <c r="J43" s="50" t="inlineStr">
        <is>
          <t>Rashli</t>
        </is>
      </c>
      <c r="K43" s="50" t="inlineStr">
        <is>
          <t>Fabricación</t>
        </is>
      </c>
      <c r="L43" s="50" t="e">
        <v>#REF!</v>
      </c>
      <c r="M43" s="54" t="inlineStr">
        <is>
          <t>Reposición a cliente</t>
        </is>
      </c>
      <c r="N43" s="50" t="inlineStr">
        <is>
          <t>Reconteo de los paneles antes de salir</t>
        </is>
      </c>
      <c r="O43" s="47" t="inlineStr">
        <is>
          <t>Han llegado dos islas menos y han faltado los 44 anclajes</t>
        </is>
      </c>
      <c r="P43" s="98" t="n">
        <v>0</v>
      </c>
      <c r="Q43" s="99" t="n"/>
      <c r="R43" s="99" t="n"/>
      <c r="S43" s="50" t="e">
        <v>#REF!</v>
      </c>
    </row>
    <row r="44" ht="30" customHeight="1">
      <c r="A44" s="55" t="inlineStr">
        <is>
          <t>CP42</t>
        </is>
      </c>
      <c r="B44" s="55" t="inlineStr">
        <is>
          <t>CERRADA</t>
        </is>
      </c>
      <c r="C44" s="56" t="n"/>
      <c r="E44" s="58" t="n">
        <v>45300</v>
      </c>
      <c r="F44" s="57" t="n">
        <v>3162</v>
      </c>
      <c r="G44" s="55" t="inlineStr">
        <is>
          <t>REP-DC. 3162. 00. DOROTEA PROYECTO METROVACESA MAD</t>
        </is>
      </c>
      <c r="H44" s="55" t="inlineStr">
        <is>
          <t>DOROTEA</t>
        </is>
      </c>
      <c r="I44" s="55" t="inlineStr">
        <is>
          <t>Juanjo</t>
        </is>
      </c>
      <c r="J44" s="55" t="inlineStr">
        <is>
          <t>Diego</t>
        </is>
      </c>
      <c r="K44" s="55" t="inlineStr">
        <is>
          <t>Defecto por cliente</t>
        </is>
      </c>
      <c r="L44" s="55" t="e">
        <v>#REF!</v>
      </c>
      <c r="M44" s="59" t="inlineStr">
        <is>
          <t>Reposición a cliente</t>
        </is>
      </c>
      <c r="N44" s="55" t="inlineStr">
        <is>
          <t>Hacer pedido inicial más ajustado a la realidad</t>
        </is>
      </c>
      <c r="O44" s="46" t="inlineStr">
        <is>
          <t>Es la segunda revisión de esta incidencia. Se enviaron los 12 trozos sin coste (ERROR: sin el biselado perimetral) y eran 14 unidades de biselado espiga y faltanan 10 trozos de biselado vertical.</t>
        </is>
      </c>
      <c r="P44" s="101" t="n">
        <v>0</v>
      </c>
      <c r="Q44" s="102" t="n"/>
      <c r="R44" s="102" t="n"/>
      <c r="S44" s="55" t="e">
        <v>#REF!</v>
      </c>
    </row>
    <row r="45" ht="30" customHeight="1">
      <c r="A45" s="50" t="inlineStr">
        <is>
          <t>CP43</t>
        </is>
      </c>
      <c r="B45" s="50" t="inlineStr">
        <is>
          <t>CERRADA</t>
        </is>
      </c>
      <c r="C45" s="51" t="n"/>
      <c r="D45" s="52" t="n"/>
      <c r="E45" s="53" t="n">
        <v>45301</v>
      </c>
      <c r="F45" s="52" t="n">
        <v>3642</v>
      </c>
      <c r="G45" s="50" t="inlineStr">
        <is>
          <t>REP-ERF 3642. 00. GREENAREA TABLEROS GAMA ECO CV</t>
        </is>
      </c>
      <c r="H45" s="50" t="inlineStr">
        <is>
          <t>GREENAREA</t>
        </is>
      </c>
      <c r="I45" s="50" t="n"/>
      <c r="J45" s="50" t="inlineStr">
        <is>
          <t>Mónica</t>
        </is>
      </c>
      <c r="K45" s="50" t="inlineStr">
        <is>
          <t>Fabricación</t>
        </is>
      </c>
      <c r="L45" s="50" t="e">
        <v>#REF!</v>
      </c>
      <c r="M45" s="54" t="inlineStr">
        <is>
          <t>Reposición a cliente</t>
        </is>
      </c>
      <c r="N45" s="50" t="inlineStr">
        <is>
          <t>Revisar material antes de enviar</t>
        </is>
      </c>
      <c r="O45" s="47" t="inlineStr">
        <is>
          <t>Una pieza ha llegado mal cortada</t>
        </is>
      </c>
      <c r="P45" s="98" t="n">
        <v>0</v>
      </c>
      <c r="Q45" s="99" t="n"/>
      <c r="R45" s="99" t="n"/>
      <c r="S45" s="50" t="e">
        <v>#REF!</v>
      </c>
    </row>
    <row r="46" ht="30" customHeight="1">
      <c r="A46" s="55" t="inlineStr">
        <is>
          <t>CP44</t>
        </is>
      </c>
      <c r="B46" s="55" t="inlineStr">
        <is>
          <t>CERRADA</t>
        </is>
      </c>
      <c r="C46" s="56" t="n"/>
      <c r="E46" s="58" t="n">
        <v>45301</v>
      </c>
      <c r="F46" s="57" t="n">
        <v>5321</v>
      </c>
      <c r="G46" s="55" t="inlineStr">
        <is>
          <t>REP-CO 5321. 00. INSTALDECO AMPLIACION STABILO CAT</t>
        </is>
      </c>
      <c r="H46" s="55" t="inlineStr">
        <is>
          <t>INSTALDECO</t>
        </is>
      </c>
      <c r="I46" s="55" t="inlineStr">
        <is>
          <t>Manel</t>
        </is>
      </c>
      <c r="J46" s="55" t="inlineStr">
        <is>
          <t>Mónica</t>
        </is>
      </c>
      <c r="K46" s="55" t="inlineStr">
        <is>
          <t>Color - Lote - Diferencia</t>
        </is>
      </c>
      <c r="L46" s="55" t="e">
        <v>#REF!</v>
      </c>
      <c r="M46" s="59" t="inlineStr">
        <is>
          <t>Reposición a cliente</t>
        </is>
      </c>
      <c r="O46" s="46" t="inlineStr">
        <is>
          <t>Se enviaron 3 paneles de distinta tonalidad</t>
        </is>
      </c>
      <c r="P46" s="101" t="n">
        <v>0</v>
      </c>
      <c r="Q46" s="102" t="n"/>
      <c r="R46" s="102" t="n"/>
      <c r="S46" s="55" t="e">
        <v>#REF!</v>
      </c>
    </row>
    <row r="47" ht="30" customHeight="1">
      <c r="A47" s="50" t="inlineStr">
        <is>
          <t>CP45</t>
        </is>
      </c>
      <c r="B47" s="50" t="inlineStr">
        <is>
          <t>CERRADA</t>
        </is>
      </c>
      <c r="C47" s="51" t="n"/>
      <c r="D47" s="52" t="n"/>
      <c r="E47" s="53" t="n">
        <v>45302</v>
      </c>
      <c r="F47" s="52" t="n">
        <v>5537</v>
      </c>
      <c r="G47" s="50" t="inlineStr">
        <is>
          <t>REP-IT 5537. 00. OFICINA MAHR_AACHEN_FRANKENNE_ECONORDIK</t>
        </is>
      </c>
      <c r="H47" s="50" t="inlineStr">
        <is>
          <t>FRANKENNE GMBH</t>
        </is>
      </c>
      <c r="I47" s="50" t="inlineStr">
        <is>
          <t>Paloma</t>
        </is>
      </c>
      <c r="J47" s="50" t="inlineStr">
        <is>
          <t>Rashli</t>
        </is>
      </c>
      <c r="K47" s="50" t="inlineStr">
        <is>
          <t>Transporte</t>
        </is>
      </c>
      <c r="L47" s="50" t="e">
        <v>#REF!</v>
      </c>
      <c r="M47" s="54" t="inlineStr">
        <is>
          <t>Reposición a cliente</t>
        </is>
      </c>
      <c r="N47" s="50" t="n"/>
      <c r="O47" s="47" t="inlineStr">
        <is>
          <t>Llegaron 8 botes de cola aplasatdos e inutilizables.</t>
        </is>
      </c>
      <c r="P47" s="98" t="n">
        <v>0</v>
      </c>
      <c r="Q47" s="99" t="n"/>
      <c r="R47" s="99" t="n"/>
      <c r="S47" s="50" t="e">
        <v>#REF!</v>
      </c>
    </row>
    <row r="48" ht="30" customHeight="1">
      <c r="A48" s="55" t="inlineStr">
        <is>
          <t>CP46</t>
        </is>
      </c>
      <c r="B48" s="55" t="inlineStr">
        <is>
          <t>CERRADA</t>
        </is>
      </c>
      <c r="C48" s="56" t="n"/>
      <c r="E48" s="58" t="n">
        <v>45306</v>
      </c>
      <c r="F48" s="57" t="n">
        <v>5839</v>
      </c>
      <c r="G48" s="55" t="inlineStr">
        <is>
          <t>REP-ERF 5839. 00. DOYMA JAEN ECONORDIK ROBLE AND</t>
        </is>
      </c>
      <c r="H48" s="55" t="inlineStr">
        <is>
          <t>DOYMA JAEN</t>
        </is>
      </c>
      <c r="I48" s="55" t="inlineStr">
        <is>
          <t>Jorge Blanco</t>
        </is>
      </c>
      <c r="J48" s="55" t="inlineStr">
        <is>
          <t>Luis</t>
        </is>
      </c>
      <c r="K48" s="55" t="inlineStr">
        <is>
          <t>Fabricación</t>
        </is>
      </c>
      <c r="L48" s="55" t="e">
        <v>#REF!</v>
      </c>
      <c r="M48" s="59" t="inlineStr">
        <is>
          <t>Reposición a cliente</t>
        </is>
      </c>
      <c r="N48" s="55" t="inlineStr">
        <is>
          <t>Revisar material antes de enviar</t>
        </is>
      </c>
      <c r="O48" s="46" t="inlineStr">
        <is>
          <t>Llegaron 4 paneles con las lamas de DM defectuosas. Reponer 4 paneles</t>
        </is>
      </c>
      <c r="P48" s="101" t="n">
        <v>0</v>
      </c>
      <c r="Q48" s="102" t="n"/>
      <c r="R48" s="102" t="n"/>
      <c r="S48" s="55" t="e">
        <v>#REF!</v>
      </c>
    </row>
    <row r="49" ht="30" customHeight="1">
      <c r="A49" s="50" t="inlineStr">
        <is>
          <t>CP47</t>
        </is>
      </c>
      <c r="B49" s="50" t="inlineStr">
        <is>
          <t>CERRADA</t>
        </is>
      </c>
      <c r="C49" s="51" t="n"/>
      <c r="D49" s="52" t="n"/>
      <c r="E49" s="53" t="n">
        <v>45306</v>
      </c>
      <c r="F49" s="52" t="n">
        <v>6792</v>
      </c>
      <c r="G49" s="50" t="inlineStr">
        <is>
          <t>REP-ERT 6792. 00. AA YUDIGAR PANEL ECO 12 MM ARA</t>
        </is>
      </c>
      <c r="H49" s="50" t="inlineStr">
        <is>
          <t>YUDIGAR</t>
        </is>
      </c>
      <c r="I49" s="50" t="inlineStr">
        <is>
          <t>Manel</t>
        </is>
      </c>
      <c r="J49" s="50" t="inlineStr">
        <is>
          <t>Roberto</t>
        </is>
      </c>
      <c r="K49" s="50" t="inlineStr">
        <is>
          <t>Error técnico</t>
        </is>
      </c>
      <c r="L49" s="50" t="e">
        <v>#REF!</v>
      </c>
      <c r="M49" s="54" t="inlineStr">
        <is>
          <t>Reposición a cliente</t>
        </is>
      </c>
      <c r="N49" s="50" t="n"/>
      <c r="O49" s="47" t="inlineStr">
        <is>
          <t>Se cambio el diseño inicial y al hacer el archivo de corte, se conto mal las piezas y en vez de cortar 19 se cortaron 16.</t>
        </is>
      </c>
      <c r="P49" s="98" t="n">
        <v>0</v>
      </c>
      <c r="Q49" s="99" t="n"/>
      <c r="R49" s="99" t="n"/>
      <c r="S49" s="50" t="e">
        <v>#REF!</v>
      </c>
    </row>
    <row r="50" ht="30" customHeight="1">
      <c r="A50" s="55" t="inlineStr">
        <is>
          <t>CP48</t>
        </is>
      </c>
      <c r="B50" s="55" t="inlineStr">
        <is>
          <t>CERRADA</t>
        </is>
      </c>
      <c r="C50" s="56" t="n"/>
      <c r="E50" s="58" t="n">
        <v>45306</v>
      </c>
      <c r="F50" s="57" t="n">
        <v>5273</v>
      </c>
      <c r="G50" s="55" t="inlineStr">
        <is>
          <t>REP-COM 5273. 00. DIATERM ECOWALL ECOCLOUD ECONORDIK CAT</t>
        </is>
      </c>
      <c r="H50" s="55" t="inlineStr">
        <is>
          <t>DIATERM</t>
        </is>
      </c>
      <c r="I50" s="55" t="inlineStr">
        <is>
          <t>Manel</t>
        </is>
      </c>
      <c r="J50" s="55" t="inlineStr">
        <is>
          <t>Roberto</t>
        </is>
      </c>
      <c r="K50" s="55" t="inlineStr">
        <is>
          <t>Defecto por comercial</t>
        </is>
      </c>
      <c r="L50" s="55" t="e">
        <v>#REF!</v>
      </c>
      <c r="M50" s="59" t="inlineStr">
        <is>
          <t>Reposición a cliente</t>
        </is>
      </c>
      <c r="O50" s="46" t="inlineStr">
        <is>
          <t>Manel se equivoco al pasarnos el pedido. Querian un panel 12mm cortado como ECOcloud</t>
        </is>
      </c>
      <c r="P50" s="101" t="n">
        <v>0</v>
      </c>
      <c r="Q50" s="102" t="n"/>
      <c r="R50" s="102" t="n"/>
      <c r="S50" s="55" t="e">
        <v>#REF!</v>
      </c>
    </row>
    <row r="51" ht="30" customHeight="1">
      <c r="A51" s="50" t="inlineStr">
        <is>
          <t>CP49</t>
        </is>
      </c>
      <c r="B51" s="50" t="inlineStr">
        <is>
          <t>CERRADA</t>
        </is>
      </c>
      <c r="C51" s="51" t="n"/>
      <c r="D51" s="52" t="n"/>
      <c r="E51" s="53" t="n">
        <v>45306</v>
      </c>
      <c r="F51" s="52" t="n">
        <v>5555</v>
      </c>
      <c r="G51" s="50" t="inlineStr">
        <is>
          <t>REP-ERF 5555. 00. LA PREEMINENTE SRTA ROTTENMEIER CAT</t>
        </is>
      </c>
      <c r="H51" s="50" t="inlineStr">
        <is>
          <t>LA PREEMINENTE</t>
        </is>
      </c>
      <c r="I51" s="50" t="inlineStr">
        <is>
          <t>Manel</t>
        </is>
      </c>
      <c r="J51" s="50" t="inlineStr">
        <is>
          <t>Roberto</t>
        </is>
      </c>
      <c r="K51" s="50" t="inlineStr">
        <is>
          <t>Fabricación</t>
        </is>
      </c>
      <c r="L51" s="50" t="e">
        <v>#REF!</v>
      </c>
      <c r="M51" s="54" t="inlineStr">
        <is>
          <t>Reposición a cliente</t>
        </is>
      </c>
      <c r="N51" s="50" t="inlineStr">
        <is>
          <t>Revisar las cuchillas antes de cortar cada pedido</t>
        </is>
      </c>
      <c r="O51" s="47" t="inlineStr">
        <is>
          <t>Eran piezas rectangulares de corte recto pero que luego el cliente iba a biselar en obra. Como el corte recto no era perfecto, el bisel que hizo el cliente salio mal</t>
        </is>
      </c>
      <c r="P51" s="98" t="n">
        <v>0</v>
      </c>
      <c r="Q51" s="99" t="n"/>
      <c r="R51" s="99" t="n"/>
      <c r="S51" s="50" t="e">
        <v>#REF!</v>
      </c>
    </row>
    <row r="52" ht="45" customHeight="1">
      <c r="A52" s="55" t="inlineStr">
        <is>
          <t>CP50</t>
        </is>
      </c>
      <c r="B52" s="55" t="inlineStr">
        <is>
          <t>CERRADA</t>
        </is>
      </c>
      <c r="C52" s="56" t="n"/>
      <c r="E52" s="58" t="n">
        <v>45306</v>
      </c>
      <c r="F52" s="57" t="n">
        <v>5065</v>
      </c>
      <c r="G52" s="55" t="inlineStr">
        <is>
          <t>REP-ERF 5065. 00. DPD_LOURDES_HAWORTH_ECOWALL DIE CUT_PT</t>
        </is>
      </c>
      <c r="H52" s="55" t="inlineStr">
        <is>
          <t>HAWORTH</t>
        </is>
      </c>
      <c r="I52" s="55" t="inlineStr">
        <is>
          <t>Paulo</t>
        </is>
      </c>
      <c r="J52" s="55" t="inlineStr">
        <is>
          <t>Rashli</t>
        </is>
      </c>
      <c r="K52" s="55" t="inlineStr">
        <is>
          <t>Fabricación</t>
        </is>
      </c>
      <c r="L52" s="55" t="e">
        <v>#REF!</v>
      </c>
      <c r="M52" s="59" t="inlineStr">
        <is>
          <t>Reposición a cliente</t>
        </is>
      </c>
      <c r="N52" s="55" t="inlineStr">
        <is>
          <t>Contar los paneles y revisar que no tengan manchas antes de sacarlos</t>
        </is>
      </c>
      <c r="O52" s="46" t="inlineStr">
        <is>
          <t>Les faltan 4 piezas pequeñas (1 panel) y 5 paneles die-cut llegaron con manchas (contaminación materia prima).</t>
        </is>
      </c>
      <c r="P52" s="101" t="n">
        <v>0</v>
      </c>
      <c r="Q52" s="102" t="n"/>
      <c r="R52" s="102" t="n"/>
      <c r="S52" s="55" t="e">
        <v>#REF!</v>
      </c>
    </row>
    <row r="53" ht="30" customHeight="1">
      <c r="A53" s="50" t="inlineStr">
        <is>
          <t>CP51</t>
        </is>
      </c>
      <c r="B53" s="50" t="inlineStr">
        <is>
          <t>CERRADA</t>
        </is>
      </c>
      <c r="C53" s="51" t="n"/>
      <c r="D53" s="52" t="n"/>
      <c r="E53" s="53" t="n">
        <v>45309</v>
      </c>
      <c r="F53" s="52" t="n">
        <v>3162</v>
      </c>
      <c r="G53" s="50" t="inlineStr">
        <is>
          <t>REP-DC-3. 3162. 00. DOROTEA PROYECTO METROVACESA MAD</t>
        </is>
      </c>
      <c r="H53" s="50" t="inlineStr">
        <is>
          <t>Dorotea</t>
        </is>
      </c>
      <c r="I53" s="50" t="inlineStr">
        <is>
          <t>JUANJO</t>
        </is>
      </c>
      <c r="J53" s="50" t="inlineStr">
        <is>
          <t>Angela</t>
        </is>
      </c>
      <c r="K53" s="50" t="inlineStr">
        <is>
          <t>Defecto por cliente</t>
        </is>
      </c>
      <c r="L53" s="50" t="e">
        <v>#REF!</v>
      </c>
      <c r="M53" s="54" t="inlineStr">
        <is>
          <t>Reposición a cliente</t>
        </is>
      </c>
      <c r="N53" s="50" t="inlineStr">
        <is>
          <t>Revisar pedido inicial y el porqué de la reposicion 1</t>
        </is>
      </c>
      <c r="O53" s="47" t="inlineStr">
        <is>
          <t>Es la tercera revisión. En pedido inicial se realiza el modelo EW101 biselado en todo su perímetro. Las piezas faltantes se realizan solo en las verticales por lo que no coincide.</t>
        </is>
      </c>
      <c r="P53" s="98" t="n">
        <v>0</v>
      </c>
      <c r="Q53" s="99" t="n"/>
      <c r="R53" s="99" t="n"/>
      <c r="S53" s="50" t="e">
        <v>#REF!</v>
      </c>
    </row>
    <row r="54" ht="30" customHeight="1">
      <c r="A54" s="55" t="inlineStr">
        <is>
          <t>CP52</t>
        </is>
      </c>
      <c r="B54" s="55" t="inlineStr">
        <is>
          <t>CERRADA</t>
        </is>
      </c>
      <c r="C54" s="56" t="n"/>
      <c r="E54" s="58" t="n">
        <v>45313</v>
      </c>
      <c r="F54" s="57" t="n">
        <v>263</v>
      </c>
      <c r="G54" s="55" t="inlineStr">
        <is>
          <t>REP-ERT. 263. 00. DIATERM ADHESIVO ECO CAT</t>
        </is>
      </c>
      <c r="H54" s="55" t="inlineStr">
        <is>
          <t>DIATERM</t>
        </is>
      </c>
      <c r="I54" s="55" t="inlineStr">
        <is>
          <t>Manel</t>
        </is>
      </c>
      <c r="J54" s="55" t="inlineStr">
        <is>
          <t>Roberto</t>
        </is>
      </c>
      <c r="K54" s="55" t="inlineStr">
        <is>
          <t>Error técnico</t>
        </is>
      </c>
      <c r="L54" s="55" t="e">
        <v>#REF!</v>
      </c>
      <c r="M54" s="59" t="inlineStr">
        <is>
          <t>Reposición a cliente</t>
        </is>
      </c>
      <c r="N54" s="55" t="inlineStr">
        <is>
          <t>Revisar 2 veces presup. Se quedan las colas al mismo precio.</t>
        </is>
      </c>
      <c r="O54" s="46" t="inlineStr">
        <is>
          <t xml:space="preserve">Se enviaron colas ECO y deberian haber sido FOAM, según pedido y presupuesto. </t>
        </is>
      </c>
      <c r="P54" s="101" t="n">
        <v>0</v>
      </c>
      <c r="Q54" s="102" t="n"/>
      <c r="R54" s="102" t="n"/>
      <c r="S54" s="55" t="e">
        <v>#REF!</v>
      </c>
    </row>
    <row r="55" ht="30" customHeight="1">
      <c r="A55" s="50" t="inlineStr">
        <is>
          <t>CP53</t>
        </is>
      </c>
      <c r="B55" s="50" t="inlineStr">
        <is>
          <t>CERRADA</t>
        </is>
      </c>
      <c r="C55" s="51" t="n"/>
      <c r="D55" s="52" t="n"/>
      <c r="E55" s="53" t="n">
        <v>45314</v>
      </c>
      <c r="F55" s="52" t="n">
        <v>1999</v>
      </c>
      <c r="G55" s="50" t="inlineStr">
        <is>
          <t>REP- 1999. 01. DISMAC NAVANTIA GAL</t>
        </is>
      </c>
      <c r="H55" s="50" t="inlineStr">
        <is>
          <t>PAZ DISMAC</t>
        </is>
      </c>
      <c r="I55" s="50" t="inlineStr">
        <is>
          <t>Covadonga</t>
        </is>
      </c>
      <c r="J55" s="50" t="inlineStr">
        <is>
          <t>Mónica</t>
        </is>
      </c>
      <c r="K55" s="50" t="inlineStr">
        <is>
          <t>Fabricación</t>
        </is>
      </c>
      <c r="L55" s="50" t="e">
        <v>#REF!</v>
      </c>
      <c r="M55" s="54" t="inlineStr">
        <is>
          <t>Reposición al cliente</t>
        </is>
      </c>
      <c r="N55" s="50" t="inlineStr">
        <is>
          <t>Pintado: Asegurar proceso + Revisar pintura antes de empaquetado.</t>
        </is>
      </c>
      <c r="O55" s="47" t="inlineStr">
        <is>
          <t>11 Islas Cantos mal pintados.</t>
        </is>
      </c>
      <c r="P55" s="98" t="n">
        <v>0</v>
      </c>
      <c r="Q55" s="99" t="n"/>
      <c r="R55" s="99" t="n"/>
      <c r="S55" s="50" t="e">
        <v>#REF!</v>
      </c>
    </row>
    <row r="56" ht="30" customHeight="1">
      <c r="A56" s="55" t="inlineStr">
        <is>
          <t>CP54</t>
        </is>
      </c>
      <c r="B56" s="55" t="inlineStr">
        <is>
          <t>CERRADA</t>
        </is>
      </c>
      <c r="C56" s="56" t="n"/>
      <c r="E56" s="58" t="n">
        <v>45316</v>
      </c>
      <c r="F56" s="57" t="n">
        <v>5641</v>
      </c>
      <c r="G56" s="55" t="inlineStr">
        <is>
          <t>REP-IT 5641. 00. RCL SOLUCONS MANN HUMMEL AR</t>
        </is>
      </c>
      <c r="H56" s="55" t="inlineStr">
        <is>
          <t>RCL SOLUCONS</t>
        </is>
      </c>
      <c r="I56" s="55" t="inlineStr">
        <is>
          <t>Manel</t>
        </is>
      </c>
      <c r="J56" s="55" t="inlineStr">
        <is>
          <t>Roberto</t>
        </is>
      </c>
      <c r="K56" s="55" t="inlineStr">
        <is>
          <t>Transporte</t>
        </is>
      </c>
      <c r="L56" s="55" t="e">
        <v>#REF!</v>
      </c>
      <c r="M56" s="59" t="inlineStr">
        <is>
          <t>Reposición al cliente</t>
        </is>
      </c>
      <c r="N56" s="55" t="inlineStr">
        <is>
          <t>Cuidado al manipular el material.</t>
        </is>
      </c>
      <c r="O56" s="46" t="inlineStr">
        <is>
          <t>El cliente ha recibido 5 paneles 2380x1180x9 mm ECO-138 con las esquinas dobladas.</t>
        </is>
      </c>
      <c r="P56" s="101" t="n">
        <v>0</v>
      </c>
      <c r="Q56" s="102" t="n"/>
      <c r="R56" s="102" t="n"/>
      <c r="S56" s="55" t="e">
        <v>#REF!</v>
      </c>
    </row>
    <row r="57" ht="30" customHeight="1">
      <c r="A57" s="50" t="inlineStr">
        <is>
          <t>CP55</t>
        </is>
      </c>
      <c r="B57" s="50" t="inlineStr">
        <is>
          <t>CERRADA</t>
        </is>
      </c>
      <c r="C57" s="51" t="n"/>
      <c r="D57" s="52" t="n"/>
      <c r="E57" s="53" t="n">
        <v>45316</v>
      </c>
      <c r="F57" s="52" t="n">
        <v>5795</v>
      </c>
      <c r="G57" s="50" t="inlineStr">
        <is>
          <t>REP-ERT 5795. 02. JESSICA HAMILTON MANGLAR 2A CAT</t>
        </is>
      </c>
      <c r="H57" s="50" t="inlineStr">
        <is>
          <t>JESSICA HAMILTON</t>
        </is>
      </c>
      <c r="I57" s="50" t="inlineStr">
        <is>
          <t>Manel</t>
        </is>
      </c>
      <c r="J57" s="50" t="inlineStr">
        <is>
          <t>Rashli</t>
        </is>
      </c>
      <c r="K57" s="50" t="inlineStr">
        <is>
          <t>Fabricación</t>
        </is>
      </c>
      <c r="L57" s="50" t="e">
        <v>#REF!</v>
      </c>
      <c r="M57" s="54" t="inlineStr">
        <is>
          <t>Reposición al cliente</t>
        </is>
      </c>
      <c r="N57" s="50" t="inlineStr">
        <is>
          <t>Revisar el archivo de corte con las medidas solicitadas</t>
        </is>
      </c>
      <c r="O57" s="47" t="inlineStr">
        <is>
          <t>El cliente recibió un panel con medidas diferentes, en el presupuesto estaban bien pero en el archivo de corte no.</t>
        </is>
      </c>
      <c r="P57" s="98" t="n">
        <v>0</v>
      </c>
      <c r="Q57" s="99" t="n"/>
      <c r="R57" s="99" t="n"/>
      <c r="S57" s="50" t="e">
        <v>#REF!</v>
      </c>
    </row>
    <row r="58" ht="30" customHeight="1">
      <c r="A58" s="55" t="inlineStr">
        <is>
          <t>CP56</t>
        </is>
      </c>
      <c r="B58" s="55" t="inlineStr">
        <is>
          <t>CERRADA</t>
        </is>
      </c>
      <c r="C58" s="56" t="n"/>
      <c r="E58" s="58" t="n">
        <v>45317</v>
      </c>
      <c r="F58" s="57" t="n">
        <v>77</v>
      </c>
      <c r="G58" s="55" t="inlineStr">
        <is>
          <t>REP-IT 77. 00. AMENCORNER COMANDA PROJECTE 23261A</t>
        </is>
      </c>
      <c r="H58" s="55" t="inlineStr">
        <is>
          <t>AMENCORNER</t>
        </is>
      </c>
      <c r="I58" s="55" t="inlineStr">
        <is>
          <t>Manel</t>
        </is>
      </c>
      <c r="J58" s="55" t="inlineStr">
        <is>
          <t>Angela</t>
        </is>
      </c>
      <c r="K58" s="55" t="inlineStr">
        <is>
          <t>Transporte</t>
        </is>
      </c>
      <c r="L58" s="55" t="e">
        <v>#REF!</v>
      </c>
      <c r="M58" s="59" t="inlineStr">
        <is>
          <t>Reposición al cliente</t>
        </is>
      </c>
      <c r="N58" s="55" t="inlineStr">
        <is>
          <t>Cuidado al manipular el material.</t>
        </is>
      </c>
      <c r="O58" s="46" t="inlineStr">
        <is>
          <t>EL cliente ha recibido los paneles con listones rotos</t>
        </is>
      </c>
      <c r="P58" s="101" t="n">
        <v>0</v>
      </c>
      <c r="Q58" s="102" t="n"/>
      <c r="R58" s="102" t="n"/>
      <c r="S58" s="55" t="e">
        <v>#REF!</v>
      </c>
    </row>
    <row r="59" ht="30" customHeight="1">
      <c r="A59" s="50" t="inlineStr">
        <is>
          <t>CP57</t>
        </is>
      </c>
      <c r="B59" s="50" t="inlineStr">
        <is>
          <t>CERRADA</t>
        </is>
      </c>
      <c r="C59" s="51" t="n"/>
      <c r="D59" s="52" t="n"/>
      <c r="E59" s="53" t="n">
        <v>45317</v>
      </c>
      <c r="F59" s="52" t="n">
        <v>5200</v>
      </c>
      <c r="G59" s="50" t="inlineStr">
        <is>
          <t>REP- ERF - 5200. 00. MAGAZIJN JOYE_BASIC FOAM &amp; ECONORDIK_BEL</t>
        </is>
      </c>
      <c r="H59" s="50" t="inlineStr">
        <is>
          <t>MAGAZIJN JOYE</t>
        </is>
      </c>
      <c r="I59" s="50" t="inlineStr">
        <is>
          <t>Iciar</t>
        </is>
      </c>
      <c r="J59" s="50" t="inlineStr">
        <is>
          <t>Luis</t>
        </is>
      </c>
      <c r="K59" s="50" t="inlineStr">
        <is>
          <t>Fabricación</t>
        </is>
      </c>
      <c r="L59" s="50" t="e">
        <v>#REF!</v>
      </c>
      <c r="M59" s="54" t="inlineStr">
        <is>
          <t>Reposición al cliente</t>
        </is>
      </c>
      <c r="N59" s="50" t="inlineStr">
        <is>
          <t>REVISAR LOS PANELES ANTES DE CORTAR</t>
        </is>
      </c>
      <c r="O59" s="47" t="inlineStr">
        <is>
          <t>el cliente ha recibido 4 paneles con bocados en ambas caras</t>
        </is>
      </c>
      <c r="P59" s="98" t="n">
        <v>0</v>
      </c>
      <c r="Q59" s="99" t="n"/>
      <c r="R59" s="99" t="n"/>
      <c r="S59" s="50" t="e">
        <v>#REF!</v>
      </c>
    </row>
    <row r="60">
      <c r="A60" s="55" t="inlineStr">
        <is>
          <t>CP58</t>
        </is>
      </c>
      <c r="B60" s="55" t="inlineStr">
        <is>
          <t>CERRADA</t>
        </is>
      </c>
      <c r="C60" s="56" t="n"/>
      <c r="E60" s="58" t="n">
        <v>45320</v>
      </c>
      <c r="F60" s="57" t="n">
        <v>192</v>
      </c>
      <c r="G60" s="55" t="inlineStr">
        <is>
          <t>REP-FC 192. 00. ERGOVISUAL PEDIDO EXPO CAT</t>
        </is>
      </c>
      <c r="H60" s="55" t="inlineStr">
        <is>
          <t>ERGOVISUAL</t>
        </is>
      </c>
      <c r="I60" s="55" t="inlineStr">
        <is>
          <t>Manel</t>
        </is>
      </c>
      <c r="J60" s="55" t="inlineStr">
        <is>
          <t>Mónica</t>
        </is>
      </c>
      <c r="K60" s="55" t="inlineStr">
        <is>
          <t>Falta Componentes</t>
        </is>
      </c>
      <c r="L60" s="55" t="e">
        <v>#REF!</v>
      </c>
      <c r="M60" s="59" t="inlineStr">
        <is>
          <t>Reposición al cliente</t>
        </is>
      </c>
      <c r="N60" s="55" t="inlineStr">
        <is>
          <t>Revisar material antes de enviar</t>
        </is>
      </c>
      <c r="O60" s="46" t="inlineStr">
        <is>
          <t>No se mandaron los anclajes con el pedido.</t>
        </is>
      </c>
      <c r="P60" s="101" t="n">
        <v>0</v>
      </c>
      <c r="Q60" s="102" t="n"/>
      <c r="R60" s="102" t="n"/>
      <c r="S60" s="55" t="e">
        <v>#REF!</v>
      </c>
    </row>
    <row r="61" ht="30" customHeight="1">
      <c r="A61" s="50" t="inlineStr">
        <is>
          <t>CP59</t>
        </is>
      </c>
      <c r="B61" s="50" t="inlineStr">
        <is>
          <t>CERRADA</t>
        </is>
      </c>
      <c r="C61" s="51" t="n"/>
      <c r="D61" s="52" t="n"/>
      <c r="E61" s="53" t="n">
        <v>45321</v>
      </c>
      <c r="F61" s="52" t="n">
        <v>4078</v>
      </c>
      <c r="G61" s="50" t="inlineStr">
        <is>
          <t>REP-DC - 4078. 00. CUMULOLIMBO COMEDOR OFICINA R89 MAD</t>
        </is>
      </c>
      <c r="H61" s="50" t="inlineStr">
        <is>
          <t>CUMULOLIMBO</t>
        </is>
      </c>
      <c r="I61" s="50" t="inlineStr">
        <is>
          <t>Juanjo</t>
        </is>
      </c>
      <c r="J61" s="50" t="inlineStr">
        <is>
          <t>Diego</t>
        </is>
      </c>
      <c r="K61" s="50" t="inlineStr">
        <is>
          <t>Defecto por cliente</t>
        </is>
      </c>
      <c r="L61" s="50" t="e">
        <v>#REF!</v>
      </c>
      <c r="M61" s="54" t="inlineStr">
        <is>
          <t>Reposición al cliente</t>
        </is>
      </c>
      <c r="N61" s="50" t="inlineStr">
        <is>
          <t>Se le manda al cliente un recorte sin coste</t>
        </is>
      </c>
      <c r="O61" s="47" t="inlineStr">
        <is>
          <t>Al colocarlo en obra se dieron cuenta que quedaría mejor con un solape el recorte.</t>
        </is>
      </c>
      <c r="P61" s="98" t="n">
        <v>0</v>
      </c>
      <c r="Q61" s="99" t="n"/>
      <c r="R61" s="99" t="n"/>
      <c r="S61" s="50" t="e">
        <v>#REF!</v>
      </c>
    </row>
    <row r="62" ht="30" customHeight="1">
      <c r="A62" s="55" t="inlineStr">
        <is>
          <t>CP60</t>
        </is>
      </c>
      <c r="B62" s="55" t="inlineStr">
        <is>
          <t>CERRADA</t>
        </is>
      </c>
      <c r="C62" s="56" t="n"/>
      <c r="E62" s="58" t="n">
        <v>45322</v>
      </c>
      <c r="F62" s="57" t="n">
        <v>5930</v>
      </c>
      <c r="G62" s="55" t="inlineStr">
        <is>
          <t>REP-IT 5930. 00. SHOWROOM AMENCORNER ISLA CAT</t>
        </is>
      </c>
      <c r="H62" s="55" t="inlineStr">
        <is>
          <t>AMENCORNER</t>
        </is>
      </c>
      <c r="I62" s="55" t="inlineStr">
        <is>
          <t>Manel</t>
        </is>
      </c>
      <c r="J62" s="55" t="inlineStr">
        <is>
          <t>Roberto</t>
        </is>
      </c>
      <c r="K62" s="55" t="inlineStr">
        <is>
          <t>Transporte</t>
        </is>
      </c>
      <c r="L62" s="55" t="e">
        <v>#REF!</v>
      </c>
      <c r="M62" s="59" t="inlineStr">
        <is>
          <t>Reposición al cliente</t>
        </is>
      </c>
      <c r="N62" s="55" t="inlineStr">
        <is>
          <t>Bulto golpeado en transporte</t>
        </is>
      </c>
      <c r="O62" s="46" t="inlineStr">
        <is>
          <t>Bulto golpeado en transporte y el cliente ha avisado medio mes mas tarde de la recepcion. La agencia de transporte no se hace cargo</t>
        </is>
      </c>
      <c r="P62" s="101" t="n">
        <v>0</v>
      </c>
      <c r="Q62" s="102" t="n"/>
      <c r="R62" s="102" t="n"/>
      <c r="S62" s="55" t="e">
        <v>#REF!</v>
      </c>
    </row>
    <row r="63" ht="30" customHeight="1">
      <c r="A63" s="50" t="inlineStr">
        <is>
          <t>CP61</t>
        </is>
      </c>
      <c r="B63" s="50" t="inlineStr">
        <is>
          <t>CERRADA</t>
        </is>
      </c>
      <c r="C63" s="51" t="n"/>
      <c r="D63" s="52" t="n"/>
      <c r="E63" s="53" t="n">
        <v>45322</v>
      </c>
      <c r="F63" s="52" t="n">
        <v>5931</v>
      </c>
      <c r="G63" s="50" t="inlineStr">
        <is>
          <t>REP-FC 5931. 00. TTS ALABA 111 BARCELONA MAD</t>
        </is>
      </c>
      <c r="H63" s="50" t="inlineStr">
        <is>
          <t>TTS</t>
        </is>
      </c>
      <c r="I63" s="50" t="inlineStr">
        <is>
          <t>Ricardo</t>
        </is>
      </c>
      <c r="J63" s="50" t="inlineStr">
        <is>
          <t>Angela</t>
        </is>
      </c>
      <c r="K63" s="50" t="inlineStr">
        <is>
          <t>Color - Lote - Diferencia</t>
        </is>
      </c>
      <c r="L63" s="50" t="e">
        <v>#REF!</v>
      </c>
      <c r="M63" s="54" t="inlineStr">
        <is>
          <t>Reposición al cliente</t>
        </is>
      </c>
      <c r="N63" s="50" t="inlineStr">
        <is>
          <t>Comprobación/replanteo de impreso en fábrica</t>
        </is>
      </c>
      <c r="O63" s="47" t="inlineStr">
        <is>
          <t>Incidencias varias: golpe transporte, juntas abiertas, color impresión no correcto y descuadre.</t>
        </is>
      </c>
      <c r="P63" s="98" t="n">
        <v>0</v>
      </c>
      <c r="Q63" s="99" t="n"/>
      <c r="R63" s="99" t="n"/>
      <c r="S63" s="50" t="e">
        <v>#REF!</v>
      </c>
    </row>
    <row r="64">
      <c r="A64" s="55" t="inlineStr">
        <is>
          <t>CP62</t>
        </is>
      </c>
      <c r="B64" s="55" t="inlineStr">
        <is>
          <t>CERRADA</t>
        </is>
      </c>
      <c r="C64" s="56" t="n"/>
      <c r="E64" s="58" t="n">
        <v>45323</v>
      </c>
      <c r="F64" s="57" t="n">
        <v>5231</v>
      </c>
      <c r="G64" s="55" t="inlineStr">
        <is>
          <t>REP-ERF 5231. 00. RCL SOLUCONS REF 2251 AR</t>
        </is>
      </c>
      <c r="H64" s="55" t="inlineStr">
        <is>
          <t>RCL SOLUCONS</t>
        </is>
      </c>
      <c r="I64" s="55" t="inlineStr">
        <is>
          <t>Manel</t>
        </is>
      </c>
      <c r="J64" s="55" t="inlineStr">
        <is>
          <t>Mónica</t>
        </is>
      </c>
      <c r="K64" s="55" t="inlineStr">
        <is>
          <t>Fabricación</t>
        </is>
      </c>
      <c r="L64" s="55" t="e">
        <v>#REF!</v>
      </c>
      <c r="M64" s="59" t="inlineStr">
        <is>
          <t>Reposición al cliente</t>
        </is>
      </c>
      <c r="N64" s="55" t="inlineStr">
        <is>
          <t>Comprobar que se envían todas las piezas</t>
        </is>
      </c>
      <c r="O64" s="46" t="inlineStr">
        <is>
          <t>El cliente pidió 5 ECOislas 3D y le faltaron 2 peines + 3 lamas</t>
        </is>
      </c>
      <c r="P64" s="101" t="n">
        <v>0</v>
      </c>
      <c r="Q64" s="102" t="n"/>
      <c r="R64" s="102" t="n"/>
      <c r="S64" s="55" t="e">
        <v>#REF!</v>
      </c>
    </row>
    <row r="65" ht="30" customHeight="1">
      <c r="A65" s="50" t="inlineStr">
        <is>
          <t>CP63</t>
        </is>
      </c>
      <c r="B65" s="50" t="inlineStr">
        <is>
          <t>CERRADA</t>
        </is>
      </c>
      <c r="C65" s="51" t="n"/>
      <c r="D65" s="52" t="n"/>
      <c r="E65" s="53" t="n">
        <v>45323</v>
      </c>
      <c r="F65" s="52" t="n">
        <v>5735</v>
      </c>
      <c r="G65" s="50" t="inlineStr">
        <is>
          <t>REP-FC 5735. 00. LAFUENTE ECONORDIK Y ECOISLA 3D MAD</t>
        </is>
      </c>
      <c r="H65" s="50" t="inlineStr">
        <is>
          <t>LA FUENTE SEGOVIA</t>
        </is>
      </c>
      <c r="I65" s="50" t="inlineStr">
        <is>
          <t>Jorge Rubio</t>
        </is>
      </c>
      <c r="J65" s="50" t="inlineStr">
        <is>
          <t>Diego</t>
        </is>
      </c>
      <c r="K65" s="50" t="inlineStr">
        <is>
          <t>Falta Componentes</t>
        </is>
      </c>
      <c r="L65" s="50" t="e">
        <v>#REF!</v>
      </c>
      <c r="M65" s="54" t="inlineStr">
        <is>
          <t>Reposición al cliente</t>
        </is>
      </c>
      <c r="N65" s="50" t="inlineStr">
        <is>
          <t>Revisar material antes de enviar</t>
        </is>
      </c>
      <c r="O65" s="47" t="inlineStr">
        <is>
          <t>Faltaban 4 peines de las islas 3D</t>
        </is>
      </c>
      <c r="P65" s="98" t="n">
        <v>0</v>
      </c>
      <c r="Q65" s="99" t="n"/>
      <c r="R65" s="99" t="n"/>
      <c r="S65" s="50" t="e">
        <v>#REF!</v>
      </c>
    </row>
    <row r="66">
      <c r="A66" s="55" t="inlineStr">
        <is>
          <t>CP64</t>
        </is>
      </c>
      <c r="B66" s="55" t="inlineStr">
        <is>
          <t>CERRADA</t>
        </is>
      </c>
      <c r="C66" s="56" t="n"/>
      <c r="E66" s="58" t="n">
        <v>45328</v>
      </c>
      <c r="F66" s="57" t="n">
        <v>5231</v>
      </c>
      <c r="G66" s="55" t="inlineStr">
        <is>
          <t>REP-DC 5231. 00. RCL SOLUCONS REF 2251 AR</t>
        </is>
      </c>
      <c r="H66" s="55" t="inlineStr">
        <is>
          <t>RCL SOLUCONS</t>
        </is>
      </c>
      <c r="I66" s="55" t="inlineStr">
        <is>
          <t>Manel</t>
        </is>
      </c>
      <c r="J66" s="55" t="inlineStr">
        <is>
          <t>Mónica</t>
        </is>
      </c>
      <c r="K66" s="55" t="inlineStr">
        <is>
          <t>Defecto por cliente</t>
        </is>
      </c>
      <c r="L66" s="55" t="e">
        <v>#REF!</v>
      </c>
      <c r="M66" s="59" t="inlineStr">
        <is>
          <t>Reposición al cliente</t>
        </is>
      </c>
      <c r="N66" s="55" t="inlineStr">
        <is>
          <t>Confirmar los diseños con el cliente</t>
        </is>
      </c>
      <c r="O66" s="46" t="inlineStr">
        <is>
          <t>El cliente pidió un diseño del catálogo antiguo y se fabricó con el catálogo actual</t>
        </is>
      </c>
      <c r="P66" s="101" t="n">
        <v>0</v>
      </c>
      <c r="Q66" s="102" t="n"/>
      <c r="R66" s="102" t="n"/>
      <c r="S66" s="55" t="e">
        <v>#REF!</v>
      </c>
    </row>
    <row r="67">
      <c r="A67" s="50" t="inlineStr">
        <is>
          <t>CP65</t>
        </is>
      </c>
      <c r="B67" s="50" t="inlineStr">
        <is>
          <t>CERRADA</t>
        </is>
      </c>
      <c r="C67" s="51" t="n"/>
      <c r="D67" s="52" t="n"/>
      <c r="E67" s="53" t="n">
        <v>45328</v>
      </c>
      <c r="F67" s="52" t="n">
        <v>314</v>
      </c>
      <c r="G67" s="50" t="inlineStr">
        <is>
          <t>REP-ERF 314. 00. PUJOL ECOBASIC 9 MM CAT</t>
        </is>
      </c>
      <c r="H67" s="50" t="inlineStr">
        <is>
          <t>PUJOL ILUMINARIAS</t>
        </is>
      </c>
      <c r="I67" s="50" t="inlineStr">
        <is>
          <t>Manel</t>
        </is>
      </c>
      <c r="J67" s="50" t="inlineStr">
        <is>
          <t>Rashli</t>
        </is>
      </c>
      <c r="K67" s="50" t="inlineStr">
        <is>
          <t>Fabricación</t>
        </is>
      </c>
      <c r="L67" s="50" t="e">
        <v>#REF!</v>
      </c>
      <c r="M67" s="54" t="inlineStr">
        <is>
          <t>Reposición al cliente</t>
        </is>
      </c>
      <c r="N67" s="50" t="inlineStr">
        <is>
          <t>Seguir las instrucciones del trello</t>
        </is>
      </c>
      <c r="O67" s="47" t="inlineStr">
        <is>
          <t>El cliente pididó unos círclos cortafos y se le enviaron islas con tacos</t>
        </is>
      </c>
      <c r="P67" s="98" t="n">
        <v>0</v>
      </c>
      <c r="Q67" s="99" t="n"/>
      <c r="R67" s="99" t="n"/>
      <c r="S67" s="50" t="e">
        <v>#REF!</v>
      </c>
    </row>
    <row r="68" ht="30" customHeight="1">
      <c r="A68" s="55" t="inlineStr">
        <is>
          <t>CP66</t>
        </is>
      </c>
      <c r="B68" s="55" t="inlineStr">
        <is>
          <t>CERRADA</t>
        </is>
      </c>
      <c r="C68" s="56" t="n"/>
      <c r="E68" s="58" t="n">
        <v>45330</v>
      </c>
      <c r="F68" s="57" t="n">
        <v>4612</v>
      </c>
      <c r="G68" s="55" t="inlineStr">
        <is>
          <t>REP-DC 4612. 00.MUEBLES ROJAS ECOCLOUD EW147 CAT</t>
        </is>
      </c>
      <c r="H68" s="55" t="inlineStr">
        <is>
          <t>MUEBLES ROJAS</t>
        </is>
      </c>
      <c r="I68" s="55" t="inlineStr">
        <is>
          <t>Manel</t>
        </is>
      </c>
      <c r="J68" s="55" t="inlineStr">
        <is>
          <t>Roberto</t>
        </is>
      </c>
      <c r="K68" s="55" t="inlineStr">
        <is>
          <t>Defecto por cliente</t>
        </is>
      </c>
      <c r="L68" s="55" t="e">
        <v>#REF!</v>
      </c>
      <c r="M68" s="59" t="inlineStr">
        <is>
          <t>Reposición al cliente</t>
        </is>
      </c>
      <c r="N68" s="55" t="inlineStr">
        <is>
          <t>Seguir las instrucciones del trello</t>
        </is>
      </c>
      <c r="O68" s="46" t="inlineStr">
        <is>
          <t>El cliente paso el pedido con medidas incorrectas.</t>
        </is>
      </c>
      <c r="P68" s="101" t="n">
        <v>0</v>
      </c>
      <c r="Q68" s="102" t="n"/>
      <c r="R68" s="102" t="n"/>
      <c r="S68" s="55" t="e">
        <v>#REF!</v>
      </c>
    </row>
    <row r="69" ht="30" customHeight="1">
      <c r="A69" s="50" t="inlineStr">
        <is>
          <t>CP67</t>
        </is>
      </c>
      <c r="B69" s="50" t="inlineStr">
        <is>
          <t>CERRADA</t>
        </is>
      </c>
      <c r="C69" s="51" t="n"/>
      <c r="D69" s="52" t="n"/>
      <c r="E69" s="53" t="n">
        <v>45335</v>
      </c>
      <c r="F69" s="52" t="n">
        <v>5936</v>
      </c>
      <c r="G69" s="50" t="inlineStr">
        <is>
          <t>REP-IT 5936. 00. SK 227_SALSAMENTERIA_ISLA + BASIC_ITA</t>
        </is>
      </c>
      <c r="H69" s="50" t="inlineStr">
        <is>
          <t>A2LAB</t>
        </is>
      </c>
      <c r="I69" s="50" t="inlineStr">
        <is>
          <t>Iciar</t>
        </is>
      </c>
      <c r="J69" s="50" t="inlineStr">
        <is>
          <t>Rashli</t>
        </is>
      </c>
      <c r="K69" s="50" t="inlineStr">
        <is>
          <t>Transporte</t>
        </is>
      </c>
      <c r="L69" s="50" t="e">
        <v>#REF!</v>
      </c>
      <c r="M69" s="54" t="inlineStr">
        <is>
          <t>Reposición al cliente</t>
        </is>
      </c>
      <c r="N69" s="50" t="inlineStr">
        <is>
          <t>Seguimiento de los pedidos</t>
        </is>
      </c>
      <c r="O69" s="47" t="inlineStr">
        <is>
          <t>Al cliente no le llegarón las colas y los anclajes. Revisé con Juan y de la fábrica salió todo.</t>
        </is>
      </c>
      <c r="P69" s="98" t="n">
        <v>0</v>
      </c>
      <c r="Q69" s="99" t="n"/>
      <c r="R69" s="99" t="n"/>
      <c r="S69" s="50" t="e">
        <v>#REF!</v>
      </c>
    </row>
    <row r="70" ht="30" customHeight="1">
      <c r="A70" s="55" t="inlineStr">
        <is>
          <t>CP68</t>
        </is>
      </c>
      <c r="B70" s="55" t="inlineStr">
        <is>
          <t>CERRADA</t>
        </is>
      </c>
      <c r="C70" s="56" t="n"/>
      <c r="E70" s="58" t="n">
        <v>45335</v>
      </c>
      <c r="F70" s="57" t="n">
        <v>475</v>
      </c>
      <c r="G70" s="55" t="inlineStr">
        <is>
          <t>REP-FP 475. 00. TETRIX OBRA UAX ENTREPLANTA MAD</t>
        </is>
      </c>
      <c r="H70" s="55" t="inlineStr">
        <is>
          <t>TETRIS</t>
        </is>
      </c>
      <c r="I70" s="55" t="inlineStr">
        <is>
          <t>Ricardo de Juan</t>
        </is>
      </c>
      <c r="J70" s="55" t="inlineStr">
        <is>
          <t>Angela</t>
        </is>
      </c>
      <c r="K70" s="55" t="inlineStr">
        <is>
          <t>Falta Paneles</t>
        </is>
      </c>
      <c r="L70" s="55" t="e">
        <v>#REF!</v>
      </c>
      <c r="M70" s="59" t="inlineStr">
        <is>
          <t>Reposición al cliente</t>
        </is>
      </c>
      <c r="N70" s="55" t="inlineStr">
        <is>
          <t>Seguir las instrucciones del trello</t>
        </is>
      </c>
      <c r="O70" s="46" t="inlineStr">
        <is>
          <t xml:space="preserve">Se envió 1/3 paneles del despiece y el instalador se confundío pasando una medida. </t>
        </is>
      </c>
      <c r="P70" s="101" t="n">
        <v>0</v>
      </c>
      <c r="Q70" s="102" t="n"/>
      <c r="R70" s="102" t="n"/>
      <c r="S70" s="55" t="e">
        <v>#REF!</v>
      </c>
    </row>
    <row r="71" ht="30" customHeight="1">
      <c r="A71" s="50" t="inlineStr">
        <is>
          <t>CP69</t>
        </is>
      </c>
      <c r="B71" s="50" t="inlineStr">
        <is>
          <t>CERRADA</t>
        </is>
      </c>
      <c r="C71" s="51" t="n"/>
      <c r="D71" s="52" t="n"/>
      <c r="E71" s="53" t="n">
        <v>45335</v>
      </c>
      <c r="F71" s="52" t="n">
        <v>368</v>
      </c>
      <c r="G71" s="50" t="inlineStr">
        <is>
          <t>REP-FC 368. 01. MOBILIARIO SOTELO ECOBASIC CYL</t>
        </is>
      </c>
      <c r="H71" s="50" t="inlineStr">
        <is>
          <t>MOBILIARIO SOTELO</t>
        </is>
      </c>
      <c r="I71" s="50" t="inlineStr">
        <is>
          <t>Covadonga</t>
        </is>
      </c>
      <c r="J71" s="50" t="inlineStr">
        <is>
          <t>Mónica</t>
        </is>
      </c>
      <c r="K71" s="50" t="inlineStr">
        <is>
          <t>Fabricación</t>
        </is>
      </c>
      <c r="L71" s="50" t="e">
        <v>#REF!</v>
      </c>
      <c r="M71" s="54" t="inlineStr">
        <is>
          <t>Reembolso del importe</t>
        </is>
      </c>
      <c r="N71" s="50" t="inlineStr">
        <is>
          <t>Seguir las instrucciones del trello</t>
        </is>
      </c>
      <c r="O71" s="47" t="inlineStr">
        <is>
          <t>Faltaron los botes de adhesivo en el pedido (3uds)</t>
        </is>
      </c>
      <c r="P71" s="98" t="n">
        <v>0</v>
      </c>
      <c r="Q71" s="99" t="n"/>
      <c r="R71" s="99" t="n"/>
      <c r="S71" s="50" t="e">
        <v>#REF!</v>
      </c>
    </row>
    <row r="72">
      <c r="A72" s="55" t="inlineStr">
        <is>
          <t>CP70</t>
        </is>
      </c>
      <c r="B72" s="55" t="inlineStr">
        <is>
          <t>CERRADA</t>
        </is>
      </c>
      <c r="C72" s="56" t="n"/>
      <c r="E72" s="58" t="n">
        <v>45335</v>
      </c>
      <c r="F72" s="57" t="n">
        <v>23</v>
      </c>
      <c r="G72" s="55" t="inlineStr">
        <is>
          <t>REP-FC 23. 00. SPACIO S-21 OTOWALL PV</t>
        </is>
      </c>
      <c r="H72" s="55" t="inlineStr">
        <is>
          <t>SPACIO S-21</t>
        </is>
      </c>
      <c r="I72" s="55" t="inlineStr">
        <is>
          <t>Jon Rioboo</t>
        </is>
      </c>
      <c r="J72" s="55" t="inlineStr">
        <is>
          <t>Mónica</t>
        </is>
      </c>
      <c r="K72" s="55" t="inlineStr">
        <is>
          <t>Fabricación</t>
        </is>
      </c>
      <c r="L72" s="55" t="e">
        <v>#REF!</v>
      </c>
      <c r="M72" s="59" t="inlineStr">
        <is>
          <t>Reposición al cliente</t>
        </is>
      </c>
      <c r="N72" s="55" t="inlineStr">
        <is>
          <t>Seguir las instrucciones del trello</t>
        </is>
      </c>
      <c r="O72" s="46" t="inlineStr">
        <is>
          <t>Faltaron los botes de adhesivo en el pedido (5uds)</t>
        </is>
      </c>
      <c r="P72" s="101" t="n">
        <v>0</v>
      </c>
      <c r="Q72" s="102" t="n"/>
      <c r="R72" s="102" t="n"/>
      <c r="S72" s="55" t="e">
        <v>#REF!</v>
      </c>
    </row>
    <row r="73" ht="30" customHeight="1">
      <c r="A73" s="50" t="inlineStr">
        <is>
          <t>CP71</t>
        </is>
      </c>
      <c r="B73" s="50" t="inlineStr">
        <is>
          <t>CERRADA</t>
        </is>
      </c>
      <c r="C73" s="51" t="n"/>
      <c r="D73" s="52" t="n"/>
      <c r="E73" s="53" t="n">
        <v>45336</v>
      </c>
      <c r="F73" s="52" t="n">
        <v>4500</v>
      </c>
      <c r="G73" s="60" t="inlineStr">
        <is>
          <t>REP-FC 4500. 00. ABATON OFICINAS ANTIGUA EMBAJADA MAD</t>
        </is>
      </c>
      <c r="H73" s="50" t="inlineStr">
        <is>
          <t>ABATON</t>
        </is>
      </c>
      <c r="I73" s="50" t="inlineStr">
        <is>
          <t>Ricardo de Juan</t>
        </is>
      </c>
      <c r="J73" s="50" t="inlineStr">
        <is>
          <t>Diego</t>
        </is>
      </c>
      <c r="K73" s="50" t="inlineStr">
        <is>
          <t>Falta Componentes</t>
        </is>
      </c>
      <c r="L73" s="50" t="e">
        <v>#REF!</v>
      </c>
      <c r="M73" s="54" t="inlineStr">
        <is>
          <t>Nuevo diseño anclajes</t>
        </is>
      </c>
      <c r="N73" s="50" t="inlineStr">
        <is>
          <t>Comprobar antes que funcionan bien los anclajes de imán o utilizar el nuevo</t>
        </is>
      </c>
      <c r="O73" s="47" t="inlineStr">
        <is>
          <t>Los QUIET se les estaban cayendo porque los imanes se estaban cayendo. Se plantea enviarle los nuevos anclajes diseñados por Rafa Ortega y avisar a SERTEBRA para que se los ponga.</t>
        </is>
      </c>
      <c r="P73" s="98" t="n">
        <v>0</v>
      </c>
      <c r="Q73" s="99" t="n"/>
      <c r="R73" s="99" t="n"/>
      <c r="S73" s="50" t="e">
        <v>#REF!</v>
      </c>
    </row>
    <row r="74" ht="30" customHeight="1">
      <c r="A74" s="55" t="inlineStr">
        <is>
          <t>CP72</t>
        </is>
      </c>
      <c r="B74" s="55" t="inlineStr">
        <is>
          <t>CERRADA</t>
        </is>
      </c>
      <c r="C74" s="56" t="n"/>
      <c r="E74" s="58" t="n">
        <v>45336</v>
      </c>
      <c r="F74" s="57" t="n">
        <v>3694</v>
      </c>
      <c r="G74" s="75" t="inlineStr">
        <is>
          <t>REP-FC 3694. 00. TETRIS PILARES PL12 Y PL13 AMADEUS MAD</t>
        </is>
      </c>
      <c r="H74" s="55" t="inlineStr">
        <is>
          <t>TETRIS</t>
        </is>
      </c>
      <c r="I74" s="55" t="inlineStr">
        <is>
          <t>Ricardo de Juan</t>
        </is>
      </c>
      <c r="J74" s="55" t="inlineStr">
        <is>
          <t>Diego</t>
        </is>
      </c>
      <c r="K74" s="55" t="inlineStr">
        <is>
          <t>Falta Componentes</t>
        </is>
      </c>
      <c r="L74" s="55" t="e">
        <v>#REF!</v>
      </c>
      <c r="M74" s="59" t="inlineStr">
        <is>
          <t>Reposición al cliente</t>
        </is>
      </c>
      <c r="N74" s="55" t="inlineStr">
        <is>
          <t>Comprobar unidades mandadas</t>
        </is>
      </c>
      <c r="O74" s="46" t="inlineStr">
        <is>
          <t>Han faltado 3 paneles</t>
        </is>
      </c>
      <c r="P74" s="101" t="n">
        <v>0</v>
      </c>
      <c r="Q74" s="102" t="n"/>
      <c r="R74" s="102" t="n"/>
      <c r="S74" s="55" t="e">
        <v>#REF!</v>
      </c>
    </row>
    <row r="75" ht="30" customHeight="1">
      <c r="A75" s="50" t="inlineStr">
        <is>
          <t>CP73</t>
        </is>
      </c>
      <c r="B75" s="50" t="inlineStr">
        <is>
          <t>CERRADA</t>
        </is>
      </c>
      <c r="C75" s="51" t="n"/>
      <c r="D75" s="52" t="n"/>
      <c r="E75" s="53" t="n">
        <v>45336</v>
      </c>
      <c r="F75" s="52" t="n">
        <v>5504</v>
      </c>
      <c r="G75" s="60" t="inlineStr">
        <is>
          <t>REP-FP. 5504. 02. OFICINA MIGSO BECOOL OP1 BASIC SLIM+ECO BASIC AND</t>
        </is>
      </c>
      <c r="H75" s="50" t="inlineStr">
        <is>
          <t>BECOOL</t>
        </is>
      </c>
      <c r="I75" s="50" t="inlineStr">
        <is>
          <t>Jorge blanco</t>
        </is>
      </c>
      <c r="J75" s="50" t="inlineStr">
        <is>
          <t>Luis</t>
        </is>
      </c>
      <c r="K75" s="50" t="inlineStr">
        <is>
          <t>Falta Paneles</t>
        </is>
      </c>
      <c r="L75" s="50" t="e">
        <v>#REF!</v>
      </c>
      <c r="M75" s="54" t="inlineStr">
        <is>
          <t>Reposición al cliente</t>
        </is>
      </c>
      <c r="N75" s="50" t="inlineStr">
        <is>
          <t>Al cortar comprobar unidades</t>
        </is>
      </c>
      <c r="O75" s="47" t="inlineStr">
        <is>
          <t>10 ud. Techo técnico no le han llegado. Dudamos de que sea así porque salen 8/panel y piden múltiplos de 8</t>
        </is>
      </c>
      <c r="P75" s="98" t="n">
        <v>0</v>
      </c>
      <c r="Q75" s="99" t="n"/>
      <c r="R75" s="99" t="n"/>
      <c r="S75" s="50" t="e">
        <v>#REF!</v>
      </c>
    </row>
    <row r="76" ht="30" customHeight="1">
      <c r="A76" s="55" t="inlineStr">
        <is>
          <t>CP74</t>
        </is>
      </c>
      <c r="B76" s="55" t="inlineStr">
        <is>
          <t>CERRADA</t>
        </is>
      </c>
      <c r="C76" s="56" t="n"/>
      <c r="E76" s="58" t="n">
        <v>45337</v>
      </c>
      <c r="F76" s="57" t="n">
        <v>165</v>
      </c>
      <c r="G76" s="75" t="inlineStr">
        <is>
          <t>REP-ERT 165. 01. DP DIATERM HEXÁGONO 40MM 20MM CAT</t>
        </is>
      </c>
      <c r="H76" s="55" t="inlineStr">
        <is>
          <t>DIATERM</t>
        </is>
      </c>
      <c r="I76" s="55" t="inlineStr">
        <is>
          <t>Manel</t>
        </is>
      </c>
      <c r="J76" s="55" t="inlineStr">
        <is>
          <t>Mónica</t>
        </is>
      </c>
      <c r="K76" s="55" t="inlineStr">
        <is>
          <t>Fabricación</t>
        </is>
      </c>
      <c r="L76" s="55" t="e">
        <v>#REF!</v>
      </c>
      <c r="M76" s="59" t="inlineStr">
        <is>
          <t>Reposición al cliente</t>
        </is>
      </c>
      <c r="N76" s="55" t="inlineStr">
        <is>
          <t>Contrastar trello/dxf</t>
        </is>
      </c>
      <c r="O76" s="46" t="inlineStr">
        <is>
          <t>25 Hexágonos. En el despiece aparecían como Héxagonos, en trello como basic y se cortaron círculos.</t>
        </is>
      </c>
      <c r="P76" s="101" t="n">
        <v>0</v>
      </c>
      <c r="Q76" s="102" t="n"/>
      <c r="R76" s="102" t="n"/>
      <c r="S76" s="55" t="e">
        <v>#REF!</v>
      </c>
    </row>
    <row r="77" ht="30" customHeight="1">
      <c r="A77" s="50" t="inlineStr">
        <is>
          <t>CP75</t>
        </is>
      </c>
      <c r="B77" s="50" t="inlineStr">
        <is>
          <t>CERRADA</t>
        </is>
      </c>
      <c r="C77" s="51" t="n"/>
      <c r="D77" s="52" t="n"/>
      <c r="E77" s="53" t="n">
        <v>45337</v>
      </c>
      <c r="F77" s="52" t="n">
        <v>1711</v>
      </c>
      <c r="G77" s="60" t="inlineStr">
        <is>
          <t>REP-ERF 1711. 00. ZEN ECOCLOUD 1 NAV</t>
        </is>
      </c>
      <c r="H77" s="50" t="inlineStr">
        <is>
          <t>ZEN EQUIPAMIENTO</t>
        </is>
      </c>
      <c r="I77" s="50" t="inlineStr">
        <is>
          <t>Jon Rioboo</t>
        </is>
      </c>
      <c r="J77" s="50" t="inlineStr">
        <is>
          <t>Mónica</t>
        </is>
      </c>
      <c r="K77" s="50" t="inlineStr">
        <is>
          <t>Fabricación</t>
        </is>
      </c>
      <c r="L77" s="50" t="e">
        <v>#REF!</v>
      </c>
      <c r="M77" s="54" t="inlineStr">
        <is>
          <t>Reposición al cliente</t>
        </is>
      </c>
      <c r="N77" s="50" t="inlineStr">
        <is>
          <t>Comprobar que los paneles blancos no tengan imperfecciones</t>
        </is>
      </c>
      <c r="O77" s="47" t="inlineStr">
        <is>
          <t>1 ECOcloud D800 de color blanco que venía contaminado de otros colores</t>
        </is>
      </c>
      <c r="P77" s="98" t="n">
        <v>0</v>
      </c>
      <c r="Q77" s="99" t="n"/>
      <c r="R77" s="99" t="n"/>
      <c r="S77" s="50" t="e">
        <v>#REF!</v>
      </c>
    </row>
    <row r="78" ht="30" customHeight="1">
      <c r="A78" s="55" t="inlineStr">
        <is>
          <t>CP76</t>
        </is>
      </c>
      <c r="B78" s="55" t="inlineStr">
        <is>
          <t>CERRADA</t>
        </is>
      </c>
      <c r="C78" s="56" t="n"/>
      <c r="E78" s="58" t="n">
        <v>45337</v>
      </c>
      <c r="F78" s="57" t="n">
        <v>2168</v>
      </c>
      <c r="G78" s="75" t="inlineStr">
        <is>
          <t>REP-IT 2168. 01. ESPECIALISTA RECTANGULO COLOR CAT</t>
        </is>
      </c>
      <c r="H78" s="55" t="inlineStr">
        <is>
          <t>ESPECIALISTA</t>
        </is>
      </c>
      <c r="I78" s="55" t="inlineStr">
        <is>
          <t>Manel</t>
        </is>
      </c>
      <c r="J78" s="55" t="inlineStr">
        <is>
          <t>Roberto</t>
        </is>
      </c>
      <c r="K78" s="55" t="inlineStr">
        <is>
          <t>Transporte</t>
        </is>
      </c>
      <c r="L78" s="55" t="e">
        <v>#REF!</v>
      </c>
      <c r="M78" s="59" t="inlineStr">
        <is>
          <t>Reposición al cliente</t>
        </is>
      </c>
      <c r="N78" s="55" t="inlineStr">
        <is>
          <t>Bulto golpeado en transporte</t>
        </is>
      </c>
      <c r="O78" s="46" t="inlineStr">
        <is>
          <t xml:space="preserve">Bulto golpeado en transporte y el cliente ha avisado 6 meses mas tarde de la recepcion. </t>
        </is>
      </c>
      <c r="P78" s="101" t="n">
        <v>0</v>
      </c>
      <c r="Q78" s="102" t="n"/>
      <c r="R78" s="102" t="n"/>
      <c r="S78" s="55" t="e">
        <v>#REF!</v>
      </c>
    </row>
    <row r="79" ht="30" customHeight="1">
      <c r="A79" s="50" t="inlineStr">
        <is>
          <t>CP77</t>
        </is>
      </c>
      <c r="B79" s="50" t="inlineStr">
        <is>
          <t>CERRADA</t>
        </is>
      </c>
      <c r="C79" s="51" t="n"/>
      <c r="D79" s="52" t="n"/>
      <c r="E79" s="53" t="n">
        <v>45338</v>
      </c>
      <c r="F79" s="52" t="n">
        <v>540</v>
      </c>
      <c r="G79" s="60" t="inlineStr">
        <is>
          <t>REP-ERT 540. 02. INENI KHA CAMPO DE LAS NACIONES ECOWALL V-CUT</t>
        </is>
      </c>
      <c r="H79" s="50" t="inlineStr">
        <is>
          <t>INENI&amp;KHA</t>
        </is>
      </c>
      <c r="I79" s="50" t="inlineStr">
        <is>
          <t>Jorge Rubio</t>
        </is>
      </c>
      <c r="J79" s="50" t="inlineStr">
        <is>
          <t>Diego</t>
        </is>
      </c>
      <c r="K79" s="50" t="inlineStr">
        <is>
          <t>Error técnico</t>
        </is>
      </c>
      <c r="L79" s="50" t="e">
        <v>#REF!</v>
      </c>
      <c r="M79" s="54" t="inlineStr">
        <is>
          <t>Reposición al cliente</t>
        </is>
      </c>
      <c r="N79" s="50" t="inlineStr">
        <is>
          <t>Revisar mejor las cantidades del DXF con lo pedido del cliente</t>
        </is>
      </c>
      <c r="O79" s="47" t="inlineStr">
        <is>
          <t>Haciendo el DXF me he dejado unos paneles sin poner en el DXF, y les faltan al cliente.</t>
        </is>
      </c>
      <c r="P79" s="98" t="n">
        <v>0</v>
      </c>
      <c r="Q79" s="99" t="n"/>
      <c r="R79" s="99" t="n"/>
      <c r="S79" s="50" t="e">
        <v>#REF!</v>
      </c>
    </row>
    <row r="80" ht="30" customHeight="1">
      <c r="A80" s="55" t="inlineStr">
        <is>
          <t>CP78</t>
        </is>
      </c>
      <c r="B80" s="55" t="inlineStr">
        <is>
          <t>CERRADA</t>
        </is>
      </c>
      <c r="C80" s="56" t="n"/>
      <c r="E80" s="58" t="n">
        <v>45338</v>
      </c>
      <c r="F80" s="57" t="n">
        <v>348</v>
      </c>
      <c r="G80" s="75" t="inlineStr">
        <is>
          <t>REP-ERF 348. 00. UNISPACE GALERMA FASE 2 PLANTA 8 MAD</t>
        </is>
      </c>
      <c r="H80" s="55" t="inlineStr">
        <is>
          <t>UNISPACE</t>
        </is>
      </c>
      <c r="I80" s="55" t="inlineStr">
        <is>
          <t xml:space="preserve">Juanjo </t>
        </is>
      </c>
      <c r="J80" s="55" t="inlineStr">
        <is>
          <t>Angela</t>
        </is>
      </c>
      <c r="K80" s="55" t="inlineStr">
        <is>
          <t>Fabricación</t>
        </is>
      </c>
      <c r="L80" s="55" t="e">
        <v>#REF!</v>
      </c>
      <c r="M80" s="59" t="inlineStr">
        <is>
          <t>Reposción al cliente</t>
        </is>
      </c>
      <c r="N80" s="55" t="inlineStr">
        <is>
          <t>Revisar y leer bien lo que indica trello</t>
        </is>
      </c>
      <c r="O80" s="46" t="inlineStr">
        <is>
          <t>Se indica en trello Vcut modelo EW101 y no se realizan biseles. En trello no se puso DXF porque era de catalogo</t>
        </is>
      </c>
      <c r="P80" s="101" t="n">
        <v>0</v>
      </c>
      <c r="Q80" s="102" t="n"/>
      <c r="R80" s="102" t="n"/>
      <c r="S80" s="55" t="e">
        <v>#REF!</v>
      </c>
    </row>
    <row r="81" ht="30" customHeight="1">
      <c r="A81" s="50" t="inlineStr">
        <is>
          <t>CP79</t>
        </is>
      </c>
      <c r="B81" s="50" t="inlineStr">
        <is>
          <t>CERRADA</t>
        </is>
      </c>
      <c r="C81" s="51" t="n"/>
      <c r="D81" s="52" t="n"/>
      <c r="E81" s="53" t="n">
        <v>45348</v>
      </c>
      <c r="F81" s="52" t="n">
        <v>256</v>
      </c>
      <c r="G81" s="60" t="inlineStr">
        <is>
          <t>REP-PI 256. 01. RESTAURANTE SALA 1 MIMESIS ECOBASIC PINTADO CR</t>
        </is>
      </c>
      <c r="H81" s="50" t="inlineStr">
        <is>
          <t>MIMESIS</t>
        </is>
      </c>
      <c r="I81" s="50" t="inlineStr">
        <is>
          <t>Angel Cortijo</t>
        </is>
      </c>
      <c r="J81" s="50" t="inlineStr">
        <is>
          <t>Rashli</t>
        </is>
      </c>
      <c r="K81" s="50" t="inlineStr">
        <is>
          <t>Pintura</t>
        </is>
      </c>
      <c r="L81" s="50" t="e">
        <v>#REF!</v>
      </c>
      <c r="M81" s="54" t="inlineStr">
        <is>
          <t>Reposción al cliente</t>
        </is>
      </c>
      <c r="N81" s="50" t="inlineStr">
        <is>
          <t>Montar despiece en fábrica y comprobar la cara pintada</t>
        </is>
      </c>
      <c r="O81" s="47" t="inlineStr">
        <is>
          <t>Los paneles tienen un despiece especifício y se pintaron las caras anversas por lo que las piezas no cuadran</t>
        </is>
      </c>
      <c r="P81" s="98" t="n">
        <v>0</v>
      </c>
      <c r="Q81" s="99" t="n"/>
      <c r="R81" s="99" t="n"/>
      <c r="S81" s="50" t="e">
        <v>#REF!</v>
      </c>
    </row>
    <row r="82" ht="30" customHeight="1">
      <c r="A82" s="55" t="inlineStr">
        <is>
          <t>CP80</t>
        </is>
      </c>
      <c r="B82" s="55" t="inlineStr">
        <is>
          <t>CERRADA</t>
        </is>
      </c>
      <c r="C82" s="56" t="n"/>
      <c r="E82" s="58" t="n">
        <v>45355</v>
      </c>
      <c r="F82" s="57" t="n">
        <v>3843</v>
      </c>
      <c r="G82" s="75" t="inlineStr">
        <is>
          <t>REP-IT. 3843. HOTEL LE FRUTIER ARGOCONCEPT ECOWALL FR</t>
        </is>
      </c>
      <c r="H82" s="55" t="inlineStr">
        <is>
          <t>ARGOCONCEPT</t>
        </is>
      </c>
      <c r="I82" s="55" t="inlineStr">
        <is>
          <t>Virginia</t>
        </is>
      </c>
      <c r="J82" s="55" t="inlineStr">
        <is>
          <t>Luis</t>
        </is>
      </c>
      <c r="K82" s="55" t="inlineStr">
        <is>
          <t>Transporte</t>
        </is>
      </c>
      <c r="L82" s="55" t="e">
        <v>#REF!</v>
      </c>
      <c r="M82" s="59" t="inlineStr">
        <is>
          <t>Reposción al cliente</t>
        </is>
      </c>
      <c r="N82" s="55" t="inlineStr">
        <is>
          <t>Se cambia de proveedor Logistico. Mayor protección en envios inter.</t>
        </is>
      </c>
      <c r="O82" s="46" t="inlineStr">
        <is>
          <t>Solicitud de vuelta de los paneles a ECOcero.</t>
        </is>
      </c>
      <c r="P82" s="101" t="n">
        <v>0</v>
      </c>
      <c r="Q82" s="102" t="n"/>
      <c r="R82" s="102" t="n"/>
      <c r="S82" s="55" t="e">
        <v>#REF!</v>
      </c>
    </row>
    <row r="83" ht="30" customHeight="1">
      <c r="A83" s="50" t="inlineStr">
        <is>
          <t>CP81</t>
        </is>
      </c>
      <c r="B83" s="50" t="inlineStr">
        <is>
          <t>CERRADA</t>
        </is>
      </c>
      <c r="C83" s="51" t="n"/>
      <c r="D83" s="52" t="n"/>
      <c r="E83" s="53" t="n">
        <v>45355</v>
      </c>
      <c r="F83" s="52" t="n">
        <v>550</v>
      </c>
      <c r="G83" s="60" t="inlineStr">
        <is>
          <t>REP-ERT 550. 04. TETRIS RATED POWER PAREDES MAD</t>
        </is>
      </c>
      <c r="H83" s="50" t="inlineStr">
        <is>
          <t>TETRIS</t>
        </is>
      </c>
      <c r="I83" s="50" t="inlineStr">
        <is>
          <t>Ricardo</t>
        </is>
      </c>
      <c r="J83" s="50" t="inlineStr">
        <is>
          <t>Diego</t>
        </is>
      </c>
      <c r="K83" s="50" t="inlineStr">
        <is>
          <t>Error técnico</t>
        </is>
      </c>
      <c r="L83" s="50" t="e">
        <v>#REF!</v>
      </c>
      <c r="M83" s="54" t="inlineStr">
        <is>
          <t>Reposción al cliente</t>
        </is>
      </c>
      <c r="N83" s="50" t="inlineStr">
        <is>
          <t>Revisión de DXF</t>
        </is>
      </c>
      <c r="O83" s="47" t="inlineStr">
        <is>
          <t>Errores al hacer el DXF, golpes en paneles y errores en la toma de medidas por cliente</t>
        </is>
      </c>
      <c r="P83" s="98" t="n">
        <v>0</v>
      </c>
      <c r="Q83" s="99" t="n"/>
      <c r="R83" s="99" t="n"/>
      <c r="S83" s="50" t="e">
        <v>#REF!</v>
      </c>
    </row>
    <row r="84" ht="30" customHeight="1">
      <c r="A84" s="55" t="inlineStr">
        <is>
          <t>CP82</t>
        </is>
      </c>
      <c r="B84" s="55" t="inlineStr">
        <is>
          <t>CERRADA</t>
        </is>
      </c>
      <c r="C84" s="56" t="n"/>
      <c r="E84" s="58" t="n">
        <v>44992</v>
      </c>
      <c r="F84" s="57" t="n">
        <v>662</v>
      </c>
      <c r="G84" s="75" t="inlineStr">
        <is>
          <t>REP-COM 662. 00. INSTALDECO PANELES KRONES CAT</t>
        </is>
      </c>
      <c r="H84" s="55" t="inlineStr">
        <is>
          <t>INSTALDECO</t>
        </is>
      </c>
      <c r="I84" s="55" t="inlineStr">
        <is>
          <t>Manel</t>
        </is>
      </c>
      <c r="J84" s="55" t="inlineStr">
        <is>
          <t>Angela</t>
        </is>
      </c>
      <c r="K84" s="55" t="inlineStr">
        <is>
          <t>Defecto por comercial</t>
        </is>
      </c>
      <c r="L84" s="55" t="e">
        <v>#REF!</v>
      </c>
      <c r="M84" s="59" t="inlineStr">
        <is>
          <t>Reposición al cliente</t>
        </is>
      </c>
      <c r="N84" s="55" t="inlineStr">
        <is>
          <t xml:space="preserve">Preguntar al cliente </t>
        </is>
      </c>
      <c r="O84" s="46" t="inlineStr">
        <is>
          <t xml:space="preserve">Se pensaba que el Die-cut iba pegado pero luego indica cliente que va colgado por lo que hay que hacer un cambio de diseño. </t>
        </is>
      </c>
      <c r="P84" s="101" t="n">
        <v>0</v>
      </c>
      <c r="Q84" s="102" t="n"/>
      <c r="R84" s="102" t="n"/>
      <c r="S84" s="55" t="e">
        <v>#REF!</v>
      </c>
    </row>
    <row r="85" ht="30" customHeight="1">
      <c r="A85" s="50" t="inlineStr">
        <is>
          <t>CP83</t>
        </is>
      </c>
      <c r="B85" s="50" t="inlineStr">
        <is>
          <t>CERRADA</t>
        </is>
      </c>
      <c r="C85" s="51" t="n"/>
      <c r="D85" s="52" t="n"/>
      <c r="E85" s="53" t="n">
        <v>45359</v>
      </c>
      <c r="F85" s="52" t="n">
        <v>451</v>
      </c>
      <c r="G85" s="60" t="inlineStr">
        <is>
          <t>REP-IT. 451. 00. ESPACIOS AINE ISLAS FOAM CAT</t>
        </is>
      </c>
      <c r="H85" s="50" t="inlineStr">
        <is>
          <t>AINE</t>
        </is>
      </c>
      <c r="I85" s="50" t="inlineStr">
        <is>
          <t>Manel</t>
        </is>
      </c>
      <c r="J85" s="50" t="inlineStr">
        <is>
          <t>Rashli</t>
        </is>
      </c>
      <c r="K85" s="50" t="inlineStr">
        <is>
          <t>Transporte</t>
        </is>
      </c>
      <c r="L85" s="50" t="e">
        <v>#REF!</v>
      </c>
      <c r="M85" s="54" t="inlineStr">
        <is>
          <t>Reposición al cliente</t>
        </is>
      </c>
      <c r="N85" s="50" t="inlineStr">
        <is>
          <t>Educar a los clientes el embalaje de vuelta</t>
        </is>
      </c>
      <c r="O85" s="47" t="inlineStr">
        <is>
          <t>Enviamos el pedido antes de tiempo y en la devolución, hubo producto dañado porque no se protegió correctamente</t>
        </is>
      </c>
      <c r="P85" s="98" t="n">
        <v>0</v>
      </c>
      <c r="Q85" s="99" t="n"/>
      <c r="R85" s="99" t="n"/>
      <c r="S85" s="50" t="e">
        <v>#REF!</v>
      </c>
    </row>
    <row r="86" ht="30" customHeight="1">
      <c r="A86" s="55" t="inlineStr">
        <is>
          <t>CP84</t>
        </is>
      </c>
      <c r="B86" s="55" t="inlineStr">
        <is>
          <t>CERRADA</t>
        </is>
      </c>
      <c r="C86" s="56" t="n"/>
      <c r="E86" s="58" t="n">
        <v>45362</v>
      </c>
      <c r="F86" s="57" t="n">
        <v>5863</v>
      </c>
      <c r="G86" s="75" t="inlineStr">
        <is>
          <t>REP-PI 5863. 02. BIGARA KAI BAR RECTANGLE FOAM PV</t>
        </is>
      </c>
      <c r="H86" s="55" t="inlineStr">
        <is>
          <t>BIGARA</t>
        </is>
      </c>
      <c r="I86" s="55" t="inlineStr">
        <is>
          <t>Jon Rioboo</t>
        </is>
      </c>
      <c r="J86" s="55" t="inlineStr">
        <is>
          <t>Mónica</t>
        </is>
      </c>
      <c r="K86" s="55" t="inlineStr">
        <is>
          <t>Pintura</t>
        </is>
      </c>
      <c r="L86" s="55" t="e">
        <v>#REF!</v>
      </c>
      <c r="M86" s="59" t="inlineStr">
        <is>
          <t>Reposición al cliente</t>
        </is>
      </c>
      <c r="N86" s="55" t="inlineStr">
        <is>
          <t>Comprobar que el color es el mismo al solicitado e igual en todos los paneles</t>
        </is>
      </c>
      <c r="O86" s="46" t="inlineStr">
        <is>
          <t>Se enviaron paneles pintados de colores distintos</t>
        </is>
      </c>
      <c r="P86" s="101" t="n">
        <v>0</v>
      </c>
      <c r="Q86" s="102" t="n"/>
      <c r="R86" s="102" t="n"/>
      <c r="S86" s="55" t="e">
        <v>#REF!</v>
      </c>
    </row>
    <row r="87">
      <c r="A87" s="50" t="inlineStr">
        <is>
          <t>CP85</t>
        </is>
      </c>
      <c r="B87" s="50" t="inlineStr">
        <is>
          <t>CERRADA</t>
        </is>
      </c>
      <c r="C87" s="51" t="n"/>
      <c r="D87" s="52" t="n"/>
      <c r="E87" s="53" t="n">
        <v>45363</v>
      </c>
      <c r="F87" s="52" t="n">
        <v>202</v>
      </c>
      <c r="G87" s="60" t="inlineStr">
        <is>
          <t>REP-ERT 202. 03. BELIOS OFICINAS AND</t>
        </is>
      </c>
      <c r="H87" s="50" t="inlineStr">
        <is>
          <t>belios</t>
        </is>
      </c>
      <c r="I87" s="50" t="inlineStr">
        <is>
          <t>-</t>
        </is>
      </c>
      <c r="J87" s="50" t="inlineStr">
        <is>
          <t>luis</t>
        </is>
      </c>
      <c r="K87" s="50" t="inlineStr">
        <is>
          <t>Error técnico</t>
        </is>
      </c>
      <c r="L87" s="50" t="e">
        <v>#REF!</v>
      </c>
      <c r="M87" s="54" t="inlineStr">
        <is>
          <t>reposicion al cliente</t>
        </is>
      </c>
      <c r="N87" s="50" t="inlineStr">
        <is>
          <t>revisar dxf</t>
        </is>
      </c>
      <c r="O87" s="47" t="inlineStr">
        <is>
          <t>dos paneles más cortos de lo que tendrían que haber sido</t>
        </is>
      </c>
      <c r="P87" s="98" t="n">
        <v>0</v>
      </c>
      <c r="Q87" s="99" t="n"/>
      <c r="R87" s="99" t="n"/>
      <c r="S87" s="50" t="e">
        <v>#REF!</v>
      </c>
    </row>
    <row r="88" ht="30" customHeight="1">
      <c r="A88" s="55" t="inlineStr">
        <is>
          <t>CP86</t>
        </is>
      </c>
      <c r="B88" s="55" t="inlineStr">
        <is>
          <t>CERRADA</t>
        </is>
      </c>
      <c r="C88" s="56" t="n"/>
      <c r="E88" s="58" t="n">
        <v>45365</v>
      </c>
      <c r="F88" s="57" t="n">
        <v>8</v>
      </c>
      <c r="G88" s="55" t="inlineStr">
        <is>
          <t>REP-ERT. 8. 00. AMP BANCO OCC_ORGANITEC_ECOBAFFLE PERS_PAN</t>
        </is>
      </c>
      <c r="H88" s="55" t="inlineStr">
        <is>
          <t>ORGANITEC</t>
        </is>
      </c>
      <c r="J88" s="55" t="inlineStr">
        <is>
          <t>Rashli</t>
        </is>
      </c>
      <c r="K88" s="55" t="inlineStr">
        <is>
          <t>Error técnico</t>
        </is>
      </c>
      <c r="L88" s="55" t="e">
        <v>#REF!</v>
      </c>
      <c r="M88" s="59" t="inlineStr">
        <is>
          <t>Reposición al cliente</t>
        </is>
      </c>
      <c r="N88" s="55" t="inlineStr">
        <is>
          <t>poner en su sitio los agujeros para los bafles</t>
        </is>
      </c>
      <c r="O88" s="46" t="inlineStr">
        <is>
          <t>bafles que se han curvado por trasporte y tenían mal hechos los agujeros para los bafles</t>
        </is>
      </c>
      <c r="P88" s="101" t="n">
        <v>0</v>
      </c>
      <c r="Q88" s="102" t="n"/>
      <c r="R88" s="102" t="n"/>
      <c r="S88" s="55" t="e">
        <v>#REF!</v>
      </c>
    </row>
    <row r="89" ht="30" customHeight="1">
      <c r="A89" s="50" t="inlineStr">
        <is>
          <t>CP87</t>
        </is>
      </c>
      <c r="B89" s="50" t="inlineStr">
        <is>
          <t>CERRADA</t>
        </is>
      </c>
      <c r="C89" s="51" t="n"/>
      <c r="D89" s="52" t="n"/>
      <c r="E89" s="53" t="n">
        <v>45365</v>
      </c>
      <c r="F89" s="52" t="n">
        <v>868</v>
      </c>
      <c r="G89" s="50" t="inlineStr">
        <is>
          <t>REP-ERF 868. 00. LAFUENTE SEGOVIA ECONORDIK MAD</t>
        </is>
      </c>
      <c r="H89" s="50" t="inlineStr">
        <is>
          <t>LA FUENTE SEGOVIA</t>
        </is>
      </c>
      <c r="I89" s="50" t="inlineStr">
        <is>
          <t>Ricardo</t>
        </is>
      </c>
      <c r="J89" s="50" t="inlineStr">
        <is>
          <t>Diego</t>
        </is>
      </c>
      <c r="K89" s="50" t="inlineStr">
        <is>
          <t>Fabricación</t>
        </is>
      </c>
      <c r="L89" s="50" t="e">
        <v>#REF!</v>
      </c>
      <c r="M89" s="54" t="inlineStr">
        <is>
          <t>Reposición al cliente</t>
        </is>
      </c>
      <c r="N89" s="76" t="inlineStr">
        <is>
          <t>?¿¿??¿</t>
        </is>
      </c>
      <c r="O89" s="47" t="inlineStr">
        <is>
          <t>Le ha llegado al cliente el econordik con un acabado que no ha pedido. Puede que se haya confundido en producción al poner la etiqueta</t>
        </is>
      </c>
      <c r="P89" s="98" t="n">
        <v>0</v>
      </c>
      <c r="Q89" s="99" t="n"/>
      <c r="R89" s="99" t="n"/>
      <c r="S89" s="50" t="e">
        <v>#REF!</v>
      </c>
    </row>
    <row r="90" ht="30" customHeight="1">
      <c r="A90" s="55" t="inlineStr">
        <is>
          <t>CP88</t>
        </is>
      </c>
      <c r="B90" s="55" t="inlineStr">
        <is>
          <t>CERRADA</t>
        </is>
      </c>
      <c r="C90" s="56" t="n"/>
      <c r="E90" s="58" t="n">
        <v>45371</v>
      </c>
      <c r="F90" s="57" t="n">
        <v>961</v>
      </c>
      <c r="G90" s="55" t="inlineStr">
        <is>
          <t>REP-ERT 961. 00. MIMESIS RESTAURANTE ECOBASIC+ECONORDIK CR</t>
        </is>
      </c>
      <c r="H90" s="55" t="inlineStr">
        <is>
          <t>MIMESIS</t>
        </is>
      </c>
      <c r="I90" s="55" t="inlineStr">
        <is>
          <t>Angel Cortijo</t>
        </is>
      </c>
      <c r="J90" s="55" t="inlineStr">
        <is>
          <t>Rashli</t>
        </is>
      </c>
      <c r="K90" s="55" t="inlineStr">
        <is>
          <t>Error técnico</t>
        </is>
      </c>
      <c r="L90" s="55" t="e">
        <v>#REF!</v>
      </c>
      <c r="M90" s="59" t="inlineStr">
        <is>
          <t>Reposición al cliente</t>
        </is>
      </c>
      <c r="N90" s="55" t="inlineStr">
        <is>
          <t>Comprobar todo con el cliente y entender lo que nos comuncia</t>
        </is>
      </c>
      <c r="O90" s="46" t="inlineStr">
        <is>
          <t>4 ECObaisc según despiece. El cliente primero quería un diseño y se le dijo una opción alternativa al cambiar el techo a mono color, pero no se entendió bien que aceptaba el cambio.</t>
        </is>
      </c>
      <c r="P90" s="101" t="n">
        <v>0</v>
      </c>
      <c r="Q90" s="102" t="n"/>
      <c r="R90" s="102" t="n"/>
      <c r="S90" s="55" t="e">
        <v>#REF!</v>
      </c>
    </row>
    <row r="91" ht="30" customHeight="1">
      <c r="A91" s="50" t="inlineStr">
        <is>
          <t>CP89</t>
        </is>
      </c>
      <c r="B91" s="50" t="inlineStr">
        <is>
          <t>CERRADA</t>
        </is>
      </c>
      <c r="C91" s="51" t="n"/>
      <c r="D91" s="52" t="n"/>
      <c r="E91" s="53" t="n">
        <v>45372</v>
      </c>
      <c r="F91" s="52" t="n">
        <v>2168</v>
      </c>
      <c r="G91" s="50" t="inlineStr">
        <is>
          <t>REP- PI 2168.01. ESPECIALISTA RECTANGULO COLOR CAT</t>
        </is>
      </c>
      <c r="H91" s="50" t="inlineStr">
        <is>
          <t>ESPECIALISTA</t>
        </is>
      </c>
      <c r="I91" s="50" t="inlineStr">
        <is>
          <t>Manel</t>
        </is>
      </c>
      <c r="J91" s="50" t="inlineStr">
        <is>
          <t>Angela</t>
        </is>
      </c>
      <c r="K91" s="50" t="inlineStr">
        <is>
          <t>Pintura</t>
        </is>
      </c>
      <c r="L91" s="50" t="e">
        <v>#REF!</v>
      </c>
      <c r="M91" s="54" t="inlineStr">
        <is>
          <t>Reposición al cliente</t>
        </is>
      </c>
      <c r="N91" s="50" t="inlineStr">
        <is>
          <t>Pintura mal en todos los paneles</t>
        </is>
      </c>
      <c r="O91" s="47" t="inlineStr">
        <is>
          <t xml:space="preserve">15 rectángulos color 1180*580mm. El perimetro de los paneles está de distinto color al centro. </t>
        </is>
      </c>
      <c r="P91" s="98" t="n">
        <v>0</v>
      </c>
      <c r="Q91" s="99" t="n"/>
      <c r="R91" s="99" t="n"/>
      <c r="S91" s="50" t="e">
        <v>#REF!</v>
      </c>
    </row>
    <row r="92">
      <c r="A92" s="55" t="inlineStr">
        <is>
          <t>CP90</t>
        </is>
      </c>
      <c r="B92" s="55" t="inlineStr">
        <is>
          <t>CERRADA</t>
        </is>
      </c>
      <c r="C92" s="56" t="n"/>
      <c r="E92" s="58" t="n">
        <v>45376</v>
      </c>
      <c r="F92" s="57" t="n">
        <v>1032</v>
      </c>
      <c r="G92" s="55" t="inlineStr">
        <is>
          <t>REP-FC 1032. 01. EQUIPAVILES METAL S AST</t>
        </is>
      </c>
      <c r="H92" s="55" t="inlineStr">
        <is>
          <t>EQUIPAVILES</t>
        </is>
      </c>
      <c r="I92" s="55" t="inlineStr">
        <is>
          <t>Covadonga</t>
        </is>
      </c>
      <c r="J92" s="55" t="inlineStr">
        <is>
          <t>Mónica</t>
        </is>
      </c>
      <c r="K92" s="55" t="inlineStr">
        <is>
          <t>Falta Componentes</t>
        </is>
      </c>
      <c r="L92" s="55" t="e">
        <v>#REF!</v>
      </c>
      <c r="M92" s="59" t="inlineStr">
        <is>
          <t>Reposición al cliente</t>
        </is>
      </c>
      <c r="N92" s="55" t="inlineStr">
        <is>
          <t>Comprobar que se envían todos los artículos</t>
        </is>
      </c>
      <c r="O92" s="46" t="inlineStr">
        <is>
          <t>Faltaron los 4 módulos de CIRCULAR y todos los anclajes (32ud)</t>
        </is>
      </c>
      <c r="P92" s="101" t="n">
        <v>0</v>
      </c>
      <c r="Q92" s="102" t="n"/>
      <c r="R92" s="102" t="n"/>
      <c r="S92" s="55" t="e">
        <v>#REF!</v>
      </c>
    </row>
    <row r="93" ht="30" customHeight="1">
      <c r="A93" s="50" t="inlineStr">
        <is>
          <t>CP91</t>
        </is>
      </c>
      <c r="B93" s="50" t="inlineStr">
        <is>
          <t>CERRADA</t>
        </is>
      </c>
      <c r="C93" s="51" t="n"/>
      <c r="D93" s="52" t="n"/>
      <c r="E93" s="53" t="n">
        <v>45376</v>
      </c>
      <c r="F93" s="52" t="n">
        <v>1135</v>
      </c>
      <c r="G93" s="50" t="inlineStr">
        <is>
          <t>REP-ERF 1135. 00. AMBIENTES MAIA ECOWALL PV</t>
        </is>
      </c>
      <c r="H93" s="77" t="inlineStr">
        <is>
          <t>AMBIENTES MAIA</t>
        </is>
      </c>
      <c r="I93" s="77" t="inlineStr">
        <is>
          <t>Jon Rioboo</t>
        </is>
      </c>
      <c r="J93" s="77" t="inlineStr">
        <is>
          <t>Mónica</t>
        </is>
      </c>
      <c r="K93" s="77" t="inlineStr">
        <is>
          <t>Fabricación</t>
        </is>
      </c>
      <c r="L93" s="77" t="e">
        <v>#REF!</v>
      </c>
      <c r="M93" s="78" t="inlineStr">
        <is>
          <t>Reposición al cliente</t>
        </is>
      </c>
      <c r="N93" s="50" t="inlineStr">
        <is>
          <t xml:space="preserve">Comprobar hoja de fabricación </t>
        </is>
      </c>
      <c r="O93" s="47" t="inlineStr">
        <is>
          <t>Se enviaron 3 paneles ECObasic y eran ECOdie-cut</t>
        </is>
      </c>
      <c r="P93" s="98" t="n">
        <v>0</v>
      </c>
      <c r="Q93" s="99" t="n"/>
      <c r="R93" s="99" t="n"/>
      <c r="S93" s="50" t="e">
        <v>#REF!</v>
      </c>
    </row>
    <row r="94">
      <c r="A94" s="55" t="inlineStr">
        <is>
          <t>CP92</t>
        </is>
      </c>
      <c r="B94" s="55" t="inlineStr">
        <is>
          <t>CERRADA</t>
        </is>
      </c>
      <c r="C94" s="56" t="n"/>
      <c r="E94" s="58" t="n">
        <v>45376</v>
      </c>
      <c r="F94" s="57" t="n">
        <v>23</v>
      </c>
      <c r="G94" s="55" t="inlineStr">
        <is>
          <t>REP-PRO 23. 00. SPACIO S-21 OTOWALL PV</t>
        </is>
      </c>
      <c r="H94" s="55" t="inlineStr">
        <is>
          <t>SPACIO XXI</t>
        </is>
      </c>
      <c r="I94" s="55" t="inlineStr">
        <is>
          <t>Jon Rioboo</t>
        </is>
      </c>
      <c r="J94" s="55" t="inlineStr">
        <is>
          <t>Mónica</t>
        </is>
      </c>
      <c r="K94" s="55" t="inlineStr">
        <is>
          <t>Proveedor</t>
        </is>
      </c>
      <c r="L94" s="55" t="e">
        <v>#REF!</v>
      </c>
      <c r="M94" s="79" t="inlineStr">
        <is>
          <t>Reposición al cliente</t>
        </is>
      </c>
      <c r="N94" s="55" t="inlineStr">
        <is>
          <t>Comprobar material que recibimos</t>
        </is>
      </c>
      <c r="O94" s="46" t="inlineStr">
        <is>
          <t>Se ha enviado una ud extra DE 47.5 y pocket menos de 95mm</t>
        </is>
      </c>
      <c r="P94" s="101" t="n">
        <v>0</v>
      </c>
      <c r="Q94" s="102" t="n"/>
      <c r="R94" s="102" t="n"/>
      <c r="S94" s="55" t="e">
        <v>#REF!</v>
      </c>
    </row>
    <row r="95" ht="30" customHeight="1">
      <c r="A95" s="50" t="inlineStr">
        <is>
          <t>CP93</t>
        </is>
      </c>
      <c r="B95" s="50" t="inlineStr">
        <is>
          <t>CERRADA</t>
        </is>
      </c>
      <c r="C95" s="51" t="n"/>
      <c r="D95" s="52" t="n"/>
      <c r="E95" s="53" t="n">
        <v>45384</v>
      </c>
      <c r="F95" s="52" t="n">
        <v>446</v>
      </c>
      <c r="G95" s="50" t="inlineStr">
        <is>
          <t>REP-ERF 446. 00. RCL SOLUCONS P.RCL_2024.01.24 AR</t>
        </is>
      </c>
      <c r="H95" s="50" t="inlineStr">
        <is>
          <t>RCL SOLUCONS</t>
        </is>
      </c>
      <c r="I95" s="50" t="inlineStr">
        <is>
          <t>Manel</t>
        </is>
      </c>
      <c r="J95" s="50" t="inlineStr">
        <is>
          <t>Angela</t>
        </is>
      </c>
      <c r="K95" s="50" t="inlineStr">
        <is>
          <t>Fabricación</t>
        </is>
      </c>
      <c r="L95" s="50" t="e">
        <v>#REF!</v>
      </c>
      <c r="M95" s="54" t="inlineStr">
        <is>
          <t>Reposición al cliente</t>
        </is>
      </c>
      <c r="N95" s="50" t="inlineStr">
        <is>
          <t xml:space="preserve">Comprobar hoja de fabricación </t>
        </is>
      </c>
      <c r="O95" s="47" t="inlineStr">
        <is>
          <t>Se ha enviado 2 ECOnordik en acabado distinto al que solicitaban y que estaba en trello.  Se decía que se sacara del outlet</t>
        </is>
      </c>
      <c r="P95" s="98" t="n">
        <v>0</v>
      </c>
      <c r="Q95" s="99" t="n"/>
      <c r="R95" s="99" t="n"/>
      <c r="S95" s="50" t="e">
        <v>#REF!</v>
      </c>
    </row>
    <row r="96" ht="30" customHeight="1">
      <c r="A96" s="55" t="inlineStr">
        <is>
          <t>CP94</t>
        </is>
      </c>
      <c r="B96" s="55" t="inlineStr">
        <is>
          <t>CERRADA</t>
        </is>
      </c>
      <c r="C96" s="56" t="n"/>
      <c r="E96" s="58" t="n">
        <v>45384</v>
      </c>
      <c r="F96" s="57" t="n">
        <v>768</v>
      </c>
      <c r="G96" s="55" t="inlineStr">
        <is>
          <t>REP-ERF. 768. 00. CF00003760_CHETAU_2M_ECOWALL VCUT_FR</t>
        </is>
      </c>
      <c r="H96" s="55" t="inlineStr">
        <is>
          <t>CJETAU</t>
        </is>
      </c>
      <c r="I96" s="55" t="inlineStr">
        <is>
          <t>Virginia</t>
        </is>
      </c>
      <c r="J96" s="55" t="inlineStr">
        <is>
          <t>Luis</t>
        </is>
      </c>
      <c r="K96" s="55" t="inlineStr">
        <is>
          <t>Fabricación</t>
        </is>
      </c>
      <c r="L96" s="55" t="e">
        <v>#REF!</v>
      </c>
      <c r="M96" s="59" t="inlineStr">
        <is>
          <t>Reposición al cliente</t>
        </is>
      </c>
      <c r="N96" s="55" t="inlineStr">
        <is>
          <t>Leer bien hoja de produccion</t>
        </is>
      </c>
      <c r="O96" s="80" t="inlineStr">
        <is>
          <t>Le han llegado al cliente paneles lisos en vez de biselados. 9ud</t>
        </is>
      </c>
      <c r="P96" s="101" t="n">
        <v>0</v>
      </c>
      <c r="Q96" s="102" t="n"/>
      <c r="R96" s="102" t="n"/>
      <c r="S96" s="55" t="e">
        <v>#REF!</v>
      </c>
    </row>
    <row r="97" ht="30" customHeight="1">
      <c r="A97" s="50" t="inlineStr">
        <is>
          <t>CP95</t>
        </is>
      </c>
      <c r="B97" s="50" t="inlineStr">
        <is>
          <t>CERRADA</t>
        </is>
      </c>
      <c r="C97" s="51" t="n"/>
      <c r="D97" s="52" t="n"/>
      <c r="E97" s="53" t="n">
        <v>45018</v>
      </c>
      <c r="F97" s="52" t="n">
        <v>229</v>
      </c>
      <c r="G97" s="50" t="inlineStr">
        <is>
          <t>REP-IT 229. 00. SHOWROOM OPUS DB_PARIS_BASIC+WALL_FR</t>
        </is>
      </c>
      <c r="H97" s="50" t="inlineStr">
        <is>
          <t>OPUS DB</t>
        </is>
      </c>
      <c r="I97" s="50" t="inlineStr">
        <is>
          <t>Virginia</t>
        </is>
      </c>
      <c r="J97" s="50" t="inlineStr">
        <is>
          <t>Rashli</t>
        </is>
      </c>
      <c r="K97" s="50" t="inlineStr">
        <is>
          <t>Transporte</t>
        </is>
      </c>
      <c r="L97" s="50" t="e">
        <v>#REF!</v>
      </c>
      <c r="M97" s="54" t="inlineStr">
        <is>
          <t>Reposición al cliente</t>
        </is>
      </c>
      <c r="N97" s="50" t="inlineStr">
        <is>
          <t>Que el transporte entregue correctamente</t>
        </is>
      </c>
      <c r="O97" s="47" t="inlineStr">
        <is>
          <t>El pedido no ha llegado al cliente, el transportista dio el pedido como entregado cuando no era verdad.</t>
        </is>
      </c>
      <c r="P97" s="98" t="n">
        <v>0</v>
      </c>
      <c r="Q97" s="99" t="n"/>
      <c r="R97" s="99" t="n"/>
      <c r="S97" s="50" t="e">
        <v>#REF!</v>
      </c>
    </row>
    <row r="98">
      <c r="A98" s="55" t="inlineStr">
        <is>
          <t>CP96</t>
        </is>
      </c>
      <c r="B98" s="55" t="inlineStr">
        <is>
          <t>CERRADA</t>
        </is>
      </c>
      <c r="C98" s="56" t="n"/>
      <c r="E98" s="58" t="n">
        <v>45386</v>
      </c>
      <c r="F98" s="57" t="n">
        <v>1662</v>
      </c>
      <c r="G98" s="55" t="inlineStr">
        <is>
          <t>REP-ERT 1662. 00. ABSOTEC EC07 M022 CYL</t>
        </is>
      </c>
      <c r="H98" s="55" t="inlineStr">
        <is>
          <t>ABSOTEC</t>
        </is>
      </c>
      <c r="I98" s="55" t="inlineStr">
        <is>
          <t>Roberto</t>
        </is>
      </c>
      <c r="J98" s="55" t="inlineStr">
        <is>
          <t>Roberto</t>
        </is>
      </c>
      <c r="K98" s="55" t="inlineStr">
        <is>
          <t>Error técnico</t>
        </is>
      </c>
      <c r="L98" s="55" t="e">
        <v>#REF!</v>
      </c>
      <c r="M98" s="59" t="inlineStr">
        <is>
          <t>Reposición al cliente</t>
        </is>
      </c>
      <c r="N98" s="55" t="inlineStr">
        <is>
          <t>Se anota que es bisel para curvar el panel</t>
        </is>
      </c>
      <c r="O98" s="46" t="inlineStr">
        <is>
          <t>7 paneles con bisel para curvar. No se puso en ningun sitio que era bisel para curvar.</t>
        </is>
      </c>
      <c r="P98" s="101" t="n">
        <v>0</v>
      </c>
      <c r="Q98" s="102" t="n"/>
      <c r="R98" s="102" t="n"/>
      <c r="S98" s="55" t="e">
        <v>#REF!</v>
      </c>
    </row>
    <row r="99" ht="30" customHeight="1">
      <c r="A99" s="50" t="inlineStr">
        <is>
          <t>CP97</t>
        </is>
      </c>
      <c r="B99" s="50" t="inlineStr">
        <is>
          <t>CERRADA</t>
        </is>
      </c>
      <c r="C99" s="51" t="n"/>
      <c r="D99" s="52" t="n"/>
      <c r="E99" s="53" t="n">
        <v>45386</v>
      </c>
      <c r="F99" s="52" t="n">
        <v>102</v>
      </c>
      <c r="G99" s="50" t="inlineStr">
        <is>
          <t>REP-ERT 102. 03. ANSE NETWORKIA BARCELONA MAD</t>
        </is>
      </c>
      <c r="H99" s="50" t="inlineStr">
        <is>
          <t>ANSE</t>
        </is>
      </c>
      <c r="I99" s="50" t="inlineStr">
        <is>
          <t>Manel</t>
        </is>
      </c>
      <c r="J99" s="50" t="inlineStr">
        <is>
          <t>Angela</t>
        </is>
      </c>
      <c r="K99" s="50" t="inlineStr">
        <is>
          <t>Error técnico</t>
        </is>
      </c>
      <c r="L99" s="50" t="e">
        <v>#REF!</v>
      </c>
      <c r="M99" s="54" t="inlineStr">
        <is>
          <t>Reposición al cliente</t>
        </is>
      </c>
      <c r="N99" s="50" t="inlineStr">
        <is>
          <t>Revisar bien pedido final del cliente</t>
        </is>
      </c>
      <c r="O99" s="47" t="inlineStr">
        <is>
          <t>2 UD de panel. Se hace un cambio en pedido final del cliente y se anota bien en trello pero se pone un modelo erroneo en el DXF</t>
        </is>
      </c>
      <c r="P99" s="98" t="n">
        <v>0</v>
      </c>
      <c r="Q99" s="99" t="n"/>
      <c r="R99" s="99" t="n"/>
      <c r="S99" s="50" t="e">
        <v>#REF!</v>
      </c>
    </row>
    <row r="100" ht="45" customHeight="1">
      <c r="A100" s="55" t="inlineStr">
        <is>
          <t>CP98</t>
        </is>
      </c>
      <c r="B100" s="55" t="inlineStr">
        <is>
          <t>CERRADA</t>
        </is>
      </c>
      <c r="C100" s="56" t="n"/>
      <c r="E100" s="58" t="n">
        <v>45386</v>
      </c>
      <c r="F100" s="57" t="n">
        <v>1538</v>
      </c>
      <c r="G100" s="55" t="inlineStr">
        <is>
          <t>REP-ET 1538. 01. CLIENTE PARTIGULAR_ERGOTEC_ECONORDIK RNATURE_PT</t>
        </is>
      </c>
      <c r="H100" s="55" t="inlineStr">
        <is>
          <t>ERGOTEC</t>
        </is>
      </c>
      <c r="I100" s="55" t="inlineStr">
        <is>
          <t>Paulo</t>
        </is>
      </c>
      <c r="J100" s="55" t="inlineStr">
        <is>
          <t>Luis</t>
        </is>
      </c>
      <c r="K100" s="55" t="inlineStr">
        <is>
          <t>Error técnico</t>
        </is>
      </c>
      <c r="L100" s="55" t="e">
        <v>#REF!</v>
      </c>
      <c r="M100" s="59" t="inlineStr">
        <is>
          <t>Reposición al cliente</t>
        </is>
      </c>
      <c r="N100" s="55" t="inlineStr">
        <is>
          <t>revisar bien los emails de cliente</t>
        </is>
      </c>
      <c r="O100" s="80" t="inlineStr">
        <is>
          <t>nos pidieron un panel de 2400x600 y se le envió de 2380x590 mm</t>
        </is>
      </c>
      <c r="P100" s="101" t="n">
        <v>0</v>
      </c>
      <c r="Q100" s="102" t="n"/>
      <c r="R100" s="102" t="n"/>
      <c r="S100" s="55" t="e">
        <v>#REF!</v>
      </c>
    </row>
    <row r="101" ht="30" customHeight="1">
      <c r="A101" s="50" t="inlineStr">
        <is>
          <t>CP99</t>
        </is>
      </c>
      <c r="B101" s="50" t="inlineStr">
        <is>
          <t>CERRADA</t>
        </is>
      </c>
      <c r="C101" s="51" t="n"/>
      <c r="D101" s="52" t="n"/>
      <c r="E101" s="53" t="n">
        <v>45387</v>
      </c>
      <c r="F101" s="52" t="n">
        <v>43</v>
      </c>
      <c r="G101" s="50" t="inlineStr">
        <is>
          <t>REP-ERT 43. 01. BIGARA CEBANC ECOCLOUD ECOWALL DIE CUT PV</t>
        </is>
      </c>
      <c r="H101" s="50" t="inlineStr">
        <is>
          <t>BIGARA</t>
        </is>
      </c>
      <c r="I101" s="50" t="inlineStr">
        <is>
          <t>Jon Rioboo</t>
        </is>
      </c>
      <c r="J101" s="50" t="inlineStr">
        <is>
          <t>Mónica</t>
        </is>
      </c>
      <c r="K101" s="50" t="inlineStr">
        <is>
          <t>Error técnico</t>
        </is>
      </c>
      <c r="L101" s="50" t="e">
        <v>#REF!</v>
      </c>
      <c r="M101" s="54" t="inlineStr">
        <is>
          <t>Reposición al cliente</t>
        </is>
      </c>
      <c r="N101" s="50" t="inlineStr">
        <is>
          <t>Revisar bien indicaciones a la hora de presupuestar</t>
        </is>
      </c>
      <c r="O101" s="47" t="inlineStr">
        <is>
          <t>Querían un Die-Cut suspendido horizontalmente y lo presupuesté para suspenderlo en vertical.</t>
        </is>
      </c>
      <c r="P101" s="98" t="n">
        <v>0</v>
      </c>
      <c r="Q101" s="99" t="n"/>
      <c r="R101" s="99" t="n"/>
      <c r="S101" s="50" t="e">
        <v>#REF!</v>
      </c>
    </row>
    <row r="102" ht="30" customHeight="1">
      <c r="A102" s="55" t="inlineStr">
        <is>
          <t>CP100</t>
        </is>
      </c>
      <c r="B102" s="55" t="inlineStr">
        <is>
          <t>CERRADA</t>
        </is>
      </c>
      <c r="C102" s="56" t="n"/>
      <c r="E102" s="58" t="n">
        <v>45391</v>
      </c>
      <c r="F102" s="57" t="n">
        <v>244</v>
      </c>
      <c r="G102" s="55" t="inlineStr">
        <is>
          <t>REP-ERT -244. 01. OFICINA CS SONAE_CASCAIS_CASTELHANO_ECOBASIC_</t>
        </is>
      </c>
      <c r="H102" s="55" t="inlineStr">
        <is>
          <t>CASTELHANO FERRERIA</t>
        </is>
      </c>
      <c r="I102" s="55" t="inlineStr">
        <is>
          <t>Paulo</t>
        </is>
      </c>
      <c r="J102" s="55" t="inlineStr">
        <is>
          <t>Luis</t>
        </is>
      </c>
      <c r="K102" s="55" t="inlineStr">
        <is>
          <t>Error técnico</t>
        </is>
      </c>
      <c r="L102" s="55" t="e">
        <v>#REF!</v>
      </c>
      <c r="M102" s="59" t="inlineStr">
        <is>
          <t>Reposición al cliente</t>
        </is>
      </c>
      <c r="N102" s="55" t="inlineStr">
        <is>
          <t>Revisar bien los emails de cliente</t>
        </is>
      </c>
      <c r="O102" s="46" t="inlineStr">
        <is>
          <t xml:space="preserve">nos pideron tiras de 32mm x 24 mm de espesor y se hicieron cuadraditos de 32x24mm </t>
        </is>
      </c>
      <c r="P102" s="101" t="n">
        <v>0</v>
      </c>
      <c r="Q102" s="102" t="n"/>
      <c r="R102" s="102" t="n"/>
      <c r="S102" s="55" t="e">
        <v>#REF!</v>
      </c>
    </row>
    <row r="103" ht="30" customHeight="1">
      <c r="A103" s="50" t="inlineStr">
        <is>
          <t>CP101</t>
        </is>
      </c>
      <c r="B103" s="50" t="inlineStr">
        <is>
          <t>CERRADA</t>
        </is>
      </c>
      <c r="C103" s="51" t="n"/>
      <c r="D103" s="52" t="n"/>
      <c r="E103" s="53" t="n">
        <v>45392</v>
      </c>
      <c r="F103" s="52" t="n">
        <v>713</v>
      </c>
      <c r="G103" s="50" t="inlineStr">
        <is>
          <t>REP-IT 713. 00. BIGARA ECONORDIK NO IGN 10148 PV</t>
        </is>
      </c>
      <c r="H103" s="50" t="inlineStr">
        <is>
          <t>BIGARA</t>
        </is>
      </c>
      <c r="I103" s="50" t="inlineStr">
        <is>
          <t>Jon Rioboo</t>
        </is>
      </c>
      <c r="J103" s="50" t="inlineStr">
        <is>
          <t>Mónica</t>
        </is>
      </c>
      <c r="K103" s="50" t="inlineStr">
        <is>
          <t>Transporte</t>
        </is>
      </c>
      <c r="L103" s="50" t="e">
        <v>#REF!</v>
      </c>
      <c r="M103" s="54" t="inlineStr">
        <is>
          <t>Reposición al cliente</t>
        </is>
      </c>
      <c r="N103" s="76" t="inlineStr">
        <is>
          <t>Bulto golpeado en transporte</t>
        </is>
      </c>
      <c r="O103" s="47" t="inlineStr">
        <is>
          <t>Uno de los paneles les ha llegado golpeado ECOnordik no ign</t>
        </is>
      </c>
      <c r="P103" s="98" t="n">
        <v>0</v>
      </c>
      <c r="Q103" s="99" t="n"/>
      <c r="R103" s="99" t="n"/>
      <c r="S103" s="50" t="e">
        <v>#REF!</v>
      </c>
    </row>
    <row r="104" ht="30" customHeight="1">
      <c r="A104" s="55" t="inlineStr">
        <is>
          <t>CP102</t>
        </is>
      </c>
      <c r="B104" s="55" t="inlineStr">
        <is>
          <t>CERRADA</t>
        </is>
      </c>
      <c r="C104" s="56" t="n"/>
      <c r="E104" s="58" t="n">
        <v>45392</v>
      </c>
      <c r="F104" s="57" t="n">
        <v>1755</v>
      </c>
      <c r="G104" s="55" t="inlineStr">
        <is>
          <t>REP-ERF 1755. 00. STEELCASE ECONORDIK TECHNIP MAD</t>
        </is>
      </c>
      <c r="H104" s="55" t="inlineStr">
        <is>
          <t>STEELCASE</t>
        </is>
      </c>
      <c r="I104" s="55" t="inlineStr">
        <is>
          <t>Ricardo de Juan</t>
        </is>
      </c>
      <c r="J104" s="55" t="inlineStr">
        <is>
          <t>Diego</t>
        </is>
      </c>
      <c r="K104" s="55" t="inlineStr">
        <is>
          <t>Fabricación</t>
        </is>
      </c>
      <c r="L104" s="55" t="e">
        <v>#REF!</v>
      </c>
      <c r="M104" s="59" t="inlineStr">
        <is>
          <t>Reposición al cliente</t>
        </is>
      </c>
      <c r="N104" s="55" t="inlineStr">
        <is>
          <t>Revisión de medidas de paneles finales.</t>
        </is>
      </c>
      <c r="O104" s="46" t="inlineStr">
        <is>
          <t>Se hizo pedido en Mayo2023 y lo tenian guardado en su almacén. Han ido a instalarlo y tienen ECOnordik de 2 medidas.</t>
        </is>
      </c>
      <c r="P104" s="101" t="n">
        <v>0</v>
      </c>
      <c r="Q104" s="102" t="n"/>
      <c r="R104" s="102" t="n"/>
      <c r="S104" s="55" t="e">
        <v>#REF!</v>
      </c>
    </row>
    <row r="105">
      <c r="A105" s="50" t="inlineStr">
        <is>
          <t>CP103</t>
        </is>
      </c>
      <c r="B105" s="50" t="inlineStr">
        <is>
          <t>CERRADA</t>
        </is>
      </c>
      <c r="C105" s="51" t="n"/>
      <c r="D105" s="52" t="n"/>
      <c r="E105" s="53" t="n">
        <v>45394</v>
      </c>
      <c r="F105" s="52" t="n">
        <v>5945</v>
      </c>
      <c r="G105" s="50" t="inlineStr">
        <is>
          <t>REP-PRO 5945. 00. BLUE2 SWEET HOME AUS</t>
        </is>
      </c>
      <c r="H105" s="50" t="inlineStr">
        <is>
          <t>BLUE2</t>
        </is>
      </c>
      <c r="I105" s="50" t="inlineStr">
        <is>
          <t>Paloma</t>
        </is>
      </c>
      <c r="J105" s="50" t="inlineStr">
        <is>
          <t>Miguel Angel</t>
        </is>
      </c>
      <c r="K105" s="50" t="inlineStr">
        <is>
          <t>Fabricación</t>
        </is>
      </c>
      <c r="L105" s="50" t="e">
        <v>#REF!</v>
      </c>
      <c r="M105" s="54" t="inlineStr">
        <is>
          <t>Reposición al cliente</t>
        </is>
      </c>
      <c r="N105" s="50" t="inlineStr">
        <is>
          <t>Se comunica al proveedor y se repone</t>
        </is>
      </c>
      <c r="O105" s="47" t="inlineStr">
        <is>
          <t xml:space="preserve">Marcas de flejes, falta de tornillos en puerta, puerta desnivelada, entra sonido del exterior </t>
        </is>
      </c>
      <c r="P105" s="98" t="n">
        <v>0</v>
      </c>
      <c r="Q105" s="99" t="n"/>
      <c r="R105" s="99" t="n"/>
      <c r="S105" s="50" t="e">
        <v>#REF!</v>
      </c>
    </row>
    <row r="106" ht="30" customHeight="1">
      <c r="A106" s="55" t="inlineStr">
        <is>
          <t>CP104</t>
        </is>
      </c>
      <c r="B106" s="55" t="inlineStr">
        <is>
          <t>CERRADA</t>
        </is>
      </c>
      <c r="C106" s="56" t="n"/>
      <c r="E106" s="58" t="n">
        <v>45377</v>
      </c>
      <c r="F106" s="57" t="n">
        <v>3093</v>
      </c>
      <c r="G106" s="55" t="inlineStr">
        <is>
          <t>REP-DC 3093. 00. DISTRITOHM ECOBOOTH NAVARRA MAD</t>
        </is>
      </c>
      <c r="H106" s="55" t="inlineStr">
        <is>
          <t>DISTRITOHM</t>
        </is>
      </c>
      <c r="I106" s="55" t="inlineStr">
        <is>
          <t>Ricardo</t>
        </is>
      </c>
      <c r="J106" s="55" t="inlineStr">
        <is>
          <t>Diego</t>
        </is>
      </c>
      <c r="K106" s="55" t="inlineStr">
        <is>
          <t>Defecto por cliente</t>
        </is>
      </c>
      <c r="L106" s="55" t="e">
        <v>#REF!</v>
      </c>
      <c r="M106" s="59" t="inlineStr">
        <is>
          <t>Reposición al cliente</t>
        </is>
      </c>
      <c r="N106" s="55" t="inlineStr">
        <is>
          <t>Se manda nueva manivela</t>
        </is>
      </c>
      <c r="O106" s="46" t="inlineStr">
        <is>
          <t>El cliente rompe la manibela por sobresfuerzo. Se repone y lo instalan ellos. Es una instalación de SERTEBRA en Navarra.</t>
        </is>
      </c>
      <c r="P106" s="101" t="n">
        <v>0</v>
      </c>
      <c r="Q106" s="102" t="n"/>
      <c r="R106" s="102" t="n"/>
      <c r="S106" s="55" t="e">
        <v>#REF!</v>
      </c>
    </row>
    <row r="107" ht="30" customHeight="1">
      <c r="A107" s="50" t="inlineStr">
        <is>
          <t>CP105</t>
        </is>
      </c>
      <c r="B107" s="50" t="inlineStr">
        <is>
          <t>CERRADA</t>
        </is>
      </c>
      <c r="C107" s="51" t="n"/>
      <c r="D107" s="52" t="n"/>
      <c r="E107" s="53" t="n">
        <v>45397</v>
      </c>
      <c r="F107" s="52" t="n">
        <v>681</v>
      </c>
      <c r="G107" s="50" t="inlineStr">
        <is>
          <t>REP-ERF 681. 01. UBICCA URBASER ECOWALL VCUT MAD</t>
        </is>
      </c>
      <c r="H107" s="50" t="inlineStr">
        <is>
          <t>UBICCA</t>
        </is>
      </c>
      <c r="I107" s="50" t="inlineStr">
        <is>
          <t>Jorge Rubio</t>
        </is>
      </c>
      <c r="J107" s="50" t="inlineStr">
        <is>
          <t>Diego</t>
        </is>
      </c>
      <c r="K107" s="50" t="inlineStr">
        <is>
          <t>Fabricación</t>
        </is>
      </c>
      <c r="L107" s="50" t="e">
        <v>#REF!</v>
      </c>
      <c r="M107" s="54" t="inlineStr">
        <is>
          <t>Reposición al cliente</t>
        </is>
      </c>
      <c r="N107" s="50" t="inlineStr">
        <is>
          <t>Se mandan nuevos paneles</t>
        </is>
      </c>
      <c r="O107" s="47" t="inlineStr">
        <is>
          <t>Hemos mandado paneles con dos tonos de ECO-140 que justo coinciden con una misma sala (estaban codificados en el DXF como la misma sala).</t>
        </is>
      </c>
      <c r="P107" s="98" t="n">
        <v>0</v>
      </c>
      <c r="Q107" s="99" t="n"/>
      <c r="R107" s="99" t="n"/>
      <c r="S107" s="50" t="e">
        <v>#REF!</v>
      </c>
    </row>
    <row r="108" ht="45" customHeight="1">
      <c r="A108" s="55" t="inlineStr">
        <is>
          <t>CP106</t>
        </is>
      </c>
      <c r="B108" s="55" t="inlineStr">
        <is>
          <t>CERRADA</t>
        </is>
      </c>
      <c r="C108" s="56" t="n"/>
      <c r="E108" s="58" t="n">
        <v>45398</v>
      </c>
      <c r="F108" s="57" t="n">
        <v>4969</v>
      </c>
      <c r="G108" s="55" t="inlineStr">
        <is>
          <t>REP-ERT 4969. 00. FRAJUMAR ECOWORKING OFICINAS MUR</t>
        </is>
      </c>
      <c r="H108" s="55" t="inlineStr">
        <is>
          <t>FRAJUMAR</t>
        </is>
      </c>
      <c r="I108" s="55" t="inlineStr">
        <is>
          <t>Javier Hernandez</t>
        </is>
      </c>
      <c r="J108" s="55" t="inlineStr">
        <is>
          <t>Rashli</t>
        </is>
      </c>
      <c r="K108" s="55" t="inlineStr">
        <is>
          <t>Error técnico</t>
        </is>
      </c>
      <c r="L108" s="55" t="e">
        <v>#REF!</v>
      </c>
      <c r="M108" s="59" t="inlineStr">
        <is>
          <t>Reposición al cliente</t>
        </is>
      </c>
      <c r="N108" s="55" t="inlineStr">
        <is>
          <t>Investigar ampliaciones de pedido</t>
        </is>
      </c>
      <c r="O108" s="46" t="inlineStr">
        <is>
          <t>El cliente tiene ecoworkings con espesores diferentes, todos sus pedidos marcan 12 mm de espesor pero según las fotos parece que en algún momento se sirvió un ecoworking de 18 mm (9+9) porque hubo una rotura de stock. Piden cambiar anclajes M por S. Mandamos a recoger los M y enviamos S</t>
        </is>
      </c>
      <c r="P108" s="101" t="n">
        <v>0</v>
      </c>
      <c r="Q108" s="102" t="n"/>
      <c r="R108" s="102" t="n"/>
      <c r="S108" s="55" t="e">
        <v>#REF!</v>
      </c>
    </row>
    <row r="109">
      <c r="A109" s="50" t="inlineStr">
        <is>
          <t>CP107</t>
        </is>
      </c>
      <c r="B109" s="50" t="inlineStr">
        <is>
          <t>CERRADA</t>
        </is>
      </c>
      <c r="C109" s="51" t="n"/>
      <c r="D109" s="52" t="n"/>
      <c r="E109" s="53" t="n">
        <v>45400</v>
      </c>
      <c r="F109" s="52" t="n">
        <v>1310</v>
      </c>
      <c r="G109" s="50" t="inlineStr">
        <is>
          <t>REP-EF-1310. 01. VISTALEGRE ECONORDIK AND</t>
        </is>
      </c>
      <c r="H109" s="50" t="inlineStr">
        <is>
          <t>VISTALEGRE</t>
        </is>
      </c>
      <c r="I109" s="50" t="inlineStr">
        <is>
          <t>Jorge blanco</t>
        </is>
      </c>
      <c r="J109" s="50" t="inlineStr">
        <is>
          <t>Luis</t>
        </is>
      </c>
      <c r="K109" s="50" t="inlineStr">
        <is>
          <t>Fabricación</t>
        </is>
      </c>
      <c r="L109" s="50" t="e">
        <v>#REF!</v>
      </c>
      <c r="M109" s="54" t="inlineStr">
        <is>
          <t>biselar y enviar de nuevo</t>
        </is>
      </c>
      <c r="N109" s="50" t="n"/>
      <c r="O109" s="47" t="inlineStr">
        <is>
          <t>se pidieron econordik curvo y no se curvaron.</t>
        </is>
      </c>
      <c r="P109" s="98" t="n">
        <v>0</v>
      </c>
      <c r="Q109" s="99" t="n"/>
      <c r="R109" s="99" t="n"/>
      <c r="S109" s="50" t="e">
        <v>#REF!</v>
      </c>
    </row>
    <row r="110" ht="45" customHeight="1">
      <c r="A110" s="55" t="inlineStr">
        <is>
          <t>CP108</t>
        </is>
      </c>
      <c r="B110" s="55" t="inlineStr">
        <is>
          <t>CERRADA</t>
        </is>
      </c>
      <c r="C110" s="56" t="n"/>
      <c r="E110" s="58" t="n">
        <v>45401</v>
      </c>
      <c r="F110" s="57" t="n">
        <v>1121</v>
      </c>
      <c r="G110" s="55" t="inlineStr">
        <is>
          <t>REP-IT 1121. 00. AMPLIACION_FR_INSITU_PROJECT AIRBUS_ECOBASIC OP1</t>
        </is>
      </c>
      <c r="H110" s="55" t="inlineStr">
        <is>
          <t>INSITU</t>
        </is>
      </c>
      <c r="I110" s="55" t="inlineStr">
        <is>
          <t>Virginia</t>
        </is>
      </c>
      <c r="J110" s="55" t="inlineStr">
        <is>
          <t>Rashli</t>
        </is>
      </c>
      <c r="K110" s="55" t="inlineStr">
        <is>
          <t>Transporte</t>
        </is>
      </c>
      <c r="L110" s="55" t="e">
        <v>#REF!</v>
      </c>
      <c r="M110" s="59" t="inlineStr">
        <is>
          <t>Reposición al cliente</t>
        </is>
      </c>
      <c r="N110" s="55" t="inlineStr">
        <is>
          <t>Tener cuidado al manipular la mercancía</t>
        </is>
      </c>
      <c r="O110" s="46" t="inlineStr">
        <is>
          <t>El paquete le llegó abierto al cliente y por tanto todos los paneles estaba sucios</t>
        </is>
      </c>
      <c r="P110" s="101" t="n">
        <v>0</v>
      </c>
      <c r="Q110" s="102" t="n"/>
      <c r="R110" s="102" t="n"/>
      <c r="S110" s="55" t="e">
        <v>#REF!</v>
      </c>
    </row>
    <row r="111" ht="30" customHeight="1">
      <c r="A111" s="50" t="inlineStr">
        <is>
          <t>CP109</t>
        </is>
      </c>
      <c r="B111" s="50" t="inlineStr">
        <is>
          <t>CERRADA</t>
        </is>
      </c>
      <c r="C111" s="51" t="n"/>
      <c r="D111" s="52" t="n"/>
      <c r="E111" s="53" t="n">
        <v>45404</v>
      </c>
      <c r="F111" s="52" t="n">
        <v>1735</v>
      </c>
      <c r="G111" s="50" t="inlineStr">
        <is>
          <t>REP-COM 1735. 00. RCL TECHO TECNICO Y ECOWALL CAT</t>
        </is>
      </c>
      <c r="H111" s="50" t="inlineStr">
        <is>
          <t>RCL SOLUCONS</t>
        </is>
      </c>
      <c r="I111" s="50" t="inlineStr">
        <is>
          <t>Manel</t>
        </is>
      </c>
      <c r="J111" s="50" t="inlineStr">
        <is>
          <t>Angela</t>
        </is>
      </c>
      <c r="K111" s="50" t="inlineStr">
        <is>
          <t>Defecto por comercial</t>
        </is>
      </c>
      <c r="L111" s="50" t="e">
        <v>#REF!</v>
      </c>
      <c r="M111" s="54" t="inlineStr">
        <is>
          <t>Reposicion al cliente</t>
        </is>
      </c>
      <c r="N111" s="50" t="inlineStr">
        <is>
          <t>Informar al cliente que tiene un catálogo antiguo con codificación erronea</t>
        </is>
      </c>
      <c r="O111" s="47" t="inlineStr">
        <is>
          <t xml:space="preserve">Son 4 paneles. El cliente pide _EW118 de catálogo de arquitectura. Esa numeración corresponde a otro modelo de catálogo de 2022. </t>
        </is>
      </c>
      <c r="P111" s="98" t="n">
        <v>0</v>
      </c>
      <c r="Q111" s="99" t="n"/>
      <c r="R111" s="99" t="n"/>
      <c r="S111" s="50" t="e">
        <v>#REF!</v>
      </c>
    </row>
    <row r="112" ht="30" customHeight="1">
      <c r="A112" s="55" t="inlineStr">
        <is>
          <t>CP110</t>
        </is>
      </c>
      <c r="B112" s="55" t="inlineStr">
        <is>
          <t>CERRADA</t>
        </is>
      </c>
      <c r="C112" s="56" t="n"/>
      <c r="E112" s="58" t="n">
        <v>45405</v>
      </c>
      <c r="F112" s="57" t="n">
        <v>1449</v>
      </c>
      <c r="G112" s="55" t="inlineStr">
        <is>
          <t>REP-ERF - 1499. 00. PARQUE DAS NAÇÕES_VERTICE_ECONORDIK ROBLE NAT_PT</t>
        </is>
      </c>
      <c r="H112" s="55" t="inlineStr">
        <is>
          <t>VERTICE</t>
        </is>
      </c>
      <c r="I112" s="55" t="inlineStr">
        <is>
          <t>Paulo</t>
        </is>
      </c>
      <c r="J112" s="55" t="inlineStr">
        <is>
          <t>Luis</t>
        </is>
      </c>
      <c r="K112" s="55" t="inlineStr">
        <is>
          <t>Fabricación</t>
        </is>
      </c>
      <c r="L112" s="55" t="e">
        <v>#REF!</v>
      </c>
      <c r="M112" s="59" t="inlineStr">
        <is>
          <t>Reposicion a cliente</t>
        </is>
      </c>
      <c r="N112" s="55" t="inlineStr">
        <is>
          <t>Revisar bien las ud que salen de fábrica. Revisar ellos también el pedido cuando les llegue</t>
        </is>
      </c>
      <c r="O112" s="46" t="inlineStr">
        <is>
          <t>El pedido eran 27 paneles y les llegó uno de menos según nos dicen pero producción dice que salieron todos.</t>
        </is>
      </c>
      <c r="P112" s="101" t="n">
        <v>0</v>
      </c>
      <c r="Q112" s="102" t="n"/>
      <c r="R112" s="102" t="n"/>
      <c r="S112" s="55" t="e">
        <v>#REF!</v>
      </c>
    </row>
    <row r="113" ht="30" customHeight="1">
      <c r="A113" s="50" t="inlineStr">
        <is>
          <t>CP111</t>
        </is>
      </c>
      <c r="B113" s="50" t="inlineStr">
        <is>
          <t>CERRADA</t>
        </is>
      </c>
      <c r="C113" s="51" t="n"/>
      <c r="D113" s="52" t="n"/>
      <c r="E113" s="53" t="n">
        <v>45467</v>
      </c>
      <c r="F113" s="52" t="n">
        <v>1376</v>
      </c>
      <c r="G113" s="50" t="inlineStr">
        <is>
          <t>REP-ERT - 1376. 00. ADRIANO_IDUNA_ECOBASIC 9MM_PT</t>
        </is>
      </c>
      <c r="H113" s="50" t="inlineStr">
        <is>
          <t>IDUNA</t>
        </is>
      </c>
      <c r="I113" s="50" t="inlineStr">
        <is>
          <t>Paulo</t>
        </is>
      </c>
      <c r="J113" s="50" t="inlineStr">
        <is>
          <t>Luis</t>
        </is>
      </c>
      <c r="K113" s="50" t="inlineStr">
        <is>
          <t>Error técnico</t>
        </is>
      </c>
      <c r="L113" s="50" t="e">
        <v>#REF!</v>
      </c>
      <c r="M113" s="54" t="inlineStr">
        <is>
          <t>Reposicion al cliente</t>
        </is>
      </c>
      <c r="N113" s="50" t="inlineStr">
        <is>
          <t>avisar cuando se cambia una plantilla de trello</t>
        </is>
      </c>
      <c r="O113" s="47" t="inlineStr">
        <is>
          <t>se modifico el epdido pero no se aviso del cambio en trello.</t>
        </is>
      </c>
      <c r="P113" s="98" t="n">
        <v>0</v>
      </c>
      <c r="Q113" s="99" t="n"/>
      <c r="R113" s="99" t="n"/>
      <c r="S113" s="50" t="e">
        <v>#REF!</v>
      </c>
    </row>
    <row r="114" ht="30" customHeight="1">
      <c r="A114" s="55" t="inlineStr">
        <is>
          <t>CP112</t>
        </is>
      </c>
      <c r="B114" s="55" t="inlineStr">
        <is>
          <t>CERRADA</t>
        </is>
      </c>
      <c r="C114" s="56" t="n"/>
      <c r="E114" s="58" t="n">
        <v>45467</v>
      </c>
      <c r="F114" s="57" t="n">
        <v>1783</v>
      </c>
      <c r="G114" s="55" t="inlineStr">
        <is>
          <t>REP-ERT - 1783. 00. TRAINING SOFTWARE OBRADOR S. AGUSTIN OTOGREEM CV</t>
        </is>
      </c>
      <c r="H114" s="55" t="inlineStr">
        <is>
          <t>TRAINING SOFTWARE</t>
        </is>
      </c>
      <c r="I114" s="55" t="inlineStr">
        <is>
          <t>Javier Hernández</t>
        </is>
      </c>
      <c r="J114" s="55" t="inlineStr">
        <is>
          <t>Luis</t>
        </is>
      </c>
      <c r="K114" s="55" t="inlineStr">
        <is>
          <t>Error técnico</t>
        </is>
      </c>
      <c r="L114" s="55" t="e">
        <v>#REF!</v>
      </c>
      <c r="M114" s="59" t="inlineStr">
        <is>
          <t>Reposicion a cliente</t>
        </is>
      </c>
      <c r="N114" s="55" t="inlineStr">
        <is>
          <t>Fijarse en la orden de compra para realizar el pedido</t>
        </is>
      </c>
      <c r="O114" s="46" t="inlineStr">
        <is>
          <t>en el epdido a green area no pedí los flat. Solo los pocket</t>
        </is>
      </c>
      <c r="P114" s="101" t="n">
        <v>0</v>
      </c>
      <c r="Q114" s="102" t="n"/>
      <c r="R114" s="102" t="n"/>
      <c r="S114" s="55" t="e">
        <v>#REF!</v>
      </c>
    </row>
    <row r="115" ht="30" customHeight="1">
      <c r="A115" s="50" t="inlineStr">
        <is>
          <t>CP113</t>
        </is>
      </c>
      <c r="B115" s="50" t="inlineStr">
        <is>
          <t>CERRADA</t>
        </is>
      </c>
      <c r="C115" s="51" t="n"/>
      <c r="D115" s="52" t="n"/>
      <c r="E115" s="53" t="n">
        <v>45407</v>
      </c>
      <c r="F115" s="52" t="n">
        <v>2050</v>
      </c>
      <c r="G115" s="50" t="inlineStr">
        <is>
          <t>REP-DC-2050. 00. ENTRE 4 PARETS OFICINAS DIAGONAL BARCELONA CAT</t>
        </is>
      </c>
      <c r="H115" s="50" t="inlineStr">
        <is>
          <t>ENTRE 4 PARETS</t>
        </is>
      </c>
      <c r="I115" s="50" t="inlineStr">
        <is>
          <t>Manel</t>
        </is>
      </c>
      <c r="J115" s="50" t="inlineStr">
        <is>
          <t>Angela</t>
        </is>
      </c>
      <c r="K115" s="50" t="inlineStr">
        <is>
          <t>Defecto por cliente</t>
        </is>
      </c>
      <c r="L115" s="50" t="e">
        <v>#REF!</v>
      </c>
      <c r="M115" s="54" t="inlineStr">
        <is>
          <t>Sustitución al cliente</t>
        </is>
      </c>
      <c r="N115" s="50" t="inlineStr">
        <is>
          <t xml:space="preserve">Asegurarse con cliente </t>
        </is>
      </c>
      <c r="O115" s="47" t="inlineStr">
        <is>
          <t xml:space="preserve">El cliente quería baffles y se presupuesto con anclajes C. Se envió confirmación con anclajes C y pagaron anclajes C.  Cuando llegan los anclajes C dicen que son los D los que quieren. </t>
        </is>
      </c>
      <c r="P115" s="98" t="n">
        <v>0</v>
      </c>
      <c r="Q115" s="99" t="n"/>
      <c r="R115" s="99" t="n"/>
      <c r="S115" s="50" t="e">
        <v>#REF!</v>
      </c>
    </row>
    <row r="116" ht="30" customHeight="1">
      <c r="A116" s="55" t="inlineStr">
        <is>
          <t>CP114</t>
        </is>
      </c>
      <c r="B116" s="55" t="inlineStr">
        <is>
          <t>CERRADA</t>
        </is>
      </c>
      <c r="C116" s="56" t="n"/>
      <c r="E116" s="58" t="n">
        <v>45407</v>
      </c>
      <c r="F116" s="57" t="n">
        <v>560</v>
      </c>
      <c r="G116" s="55" t="inlineStr">
        <is>
          <t>REP- IT 560. 00. ASFELD_CANE_PHM_ECOCLOUD EW147_FR</t>
        </is>
      </c>
      <c r="H116" s="55" t="inlineStr">
        <is>
          <t>PHM IMMOBILIER</t>
        </is>
      </c>
      <c r="I116" s="55" t="inlineStr">
        <is>
          <t>Virginia</t>
        </is>
      </c>
      <c r="J116" s="55" t="inlineStr">
        <is>
          <t>Rashli</t>
        </is>
      </c>
      <c r="K116" s="55" t="inlineStr">
        <is>
          <t>Transporte</t>
        </is>
      </c>
      <c r="L116" s="55" t="e">
        <v>#REF!</v>
      </c>
      <c r="M116" s="59" t="inlineStr">
        <is>
          <t>Reposicion a cliente</t>
        </is>
      </c>
      <c r="N116" s="55" t="inlineStr">
        <is>
          <t>Tener cuidado al manipular la mercancía</t>
        </is>
      </c>
      <c r="O116" s="46" t="inlineStr">
        <is>
          <t>Tiene una isla con los bordes dañados por el transporte</t>
        </is>
      </c>
      <c r="P116" s="101" t="n">
        <v>0</v>
      </c>
      <c r="Q116" s="102" t="n"/>
      <c r="R116" s="102" t="n"/>
      <c r="S116" s="55" t="e">
        <v>#REF!</v>
      </c>
    </row>
    <row r="117" ht="30" customHeight="1">
      <c r="A117" s="50" t="inlineStr">
        <is>
          <t>CP115</t>
        </is>
      </c>
      <c r="B117" s="50" t="inlineStr">
        <is>
          <t>CERRADA</t>
        </is>
      </c>
      <c r="C117" s="51" t="n"/>
      <c r="D117" s="52" t="n"/>
      <c r="E117" s="53" t="n">
        <v>45407</v>
      </c>
      <c r="F117" s="52" t="n">
        <v>593</v>
      </c>
      <c r="G117" s="50" t="inlineStr">
        <is>
          <t>REP- IT 593. 00. LATOUR CHATEAU TIERRY_CANE_PHM_FR_</t>
        </is>
      </c>
      <c r="H117" s="50" t="inlineStr">
        <is>
          <t>PHM IMMOBILIER</t>
        </is>
      </c>
      <c r="I117" s="50" t="inlineStr">
        <is>
          <t>Virginia</t>
        </is>
      </c>
      <c r="J117" s="50" t="inlineStr">
        <is>
          <t>Rashli</t>
        </is>
      </c>
      <c r="K117" s="50" t="inlineStr">
        <is>
          <t>Transporte</t>
        </is>
      </c>
      <c r="L117" s="50" t="e">
        <v>#REF!</v>
      </c>
      <c r="M117" s="54" t="inlineStr">
        <is>
          <t>Reposicion a cliente</t>
        </is>
      </c>
      <c r="N117" s="50" t="inlineStr">
        <is>
          <t>Tener cuidado al manipular la mercancía</t>
        </is>
      </c>
      <c r="O117" s="47" t="inlineStr">
        <is>
          <t>Tiene una isla con los bordes dañados por el transporte</t>
        </is>
      </c>
      <c r="P117" s="98" t="n">
        <v>0</v>
      </c>
      <c r="Q117" s="99" t="n"/>
      <c r="R117" s="99" t="n"/>
      <c r="S117" s="50" t="e">
        <v>#REF!</v>
      </c>
    </row>
    <row r="118" ht="30" customHeight="1">
      <c r="A118" s="55" t="inlineStr">
        <is>
          <t>CP116</t>
        </is>
      </c>
      <c r="B118" s="55" t="inlineStr">
        <is>
          <t>CERRADA</t>
        </is>
      </c>
      <c r="C118" s="56" t="n"/>
      <c r="E118" s="58" t="n">
        <v>45411</v>
      </c>
      <c r="F118" s="57" t="n">
        <v>6787</v>
      </c>
      <c r="G118" s="55" t="inlineStr">
        <is>
          <t>REP-ERT 6787. 01. AA CLINICA COLMAN TTECNICO + ECOWALL AND</t>
        </is>
      </c>
      <c r="H118" s="55" t="inlineStr">
        <is>
          <t>CLINCIA COLMAN</t>
        </is>
      </c>
      <c r="I118" s="55" t="inlineStr">
        <is>
          <t>Jorge Blanco</t>
        </is>
      </c>
      <c r="J118" s="55" t="inlineStr">
        <is>
          <t>Rashli</t>
        </is>
      </c>
      <c r="K118" s="55" t="inlineStr">
        <is>
          <t>Error técnico</t>
        </is>
      </c>
      <c r="L118" s="55" t="e">
        <v>#REF!</v>
      </c>
      <c r="M118" s="59" t="inlineStr">
        <is>
          <t>Reposicion a cliente</t>
        </is>
      </c>
      <c r="N118" s="55" t="inlineStr">
        <is>
          <t>Revisar mejor el archivo de corte</t>
        </is>
      </c>
      <c r="O118" s="46" t="inlineStr">
        <is>
          <t>Hay una pieza curva con picos irregulares y al cliente no le gusta</t>
        </is>
      </c>
      <c r="P118" s="101" t="n">
        <v>0</v>
      </c>
      <c r="Q118" s="102" t="n"/>
      <c r="R118" s="102" t="n"/>
      <c r="S118" s="55" t="e">
        <v>#REF!</v>
      </c>
    </row>
    <row r="119">
      <c r="A119" s="50" t="inlineStr">
        <is>
          <t>CP117</t>
        </is>
      </c>
      <c r="B119" s="50" t="inlineStr">
        <is>
          <t>CERRADA</t>
        </is>
      </c>
      <c r="C119" s="51" t="n"/>
      <c r="D119" s="52" t="n"/>
      <c r="E119" s="53" t="n">
        <v>45412</v>
      </c>
      <c r="F119" s="52" t="n">
        <v>1618</v>
      </c>
      <c r="G119" s="50" t="inlineStr">
        <is>
          <t>REP-ERT 1618. 01. TETRIS PL1 AMADEUS MAD</t>
        </is>
      </c>
      <c r="H119" s="50" t="inlineStr">
        <is>
          <t>TETRIS</t>
        </is>
      </c>
      <c r="I119" s="50" t="inlineStr">
        <is>
          <t>Ricardo de Juan</t>
        </is>
      </c>
      <c r="J119" s="50" t="inlineStr">
        <is>
          <t>Diego</t>
        </is>
      </c>
      <c r="K119" s="50" t="inlineStr">
        <is>
          <t>Error técnico</t>
        </is>
      </c>
      <c r="L119" s="50" t="e">
        <v>#REF!</v>
      </c>
      <c r="M119" s="54" t="inlineStr">
        <is>
          <t>Reposicion a cliente</t>
        </is>
      </c>
      <c r="N119" s="50" t="inlineStr">
        <is>
          <t>Más atención</t>
        </is>
      </c>
      <c r="O119" s="47" t="inlineStr">
        <is>
          <t>En una pieza que se repetía, me quedé 5mm más corto sin darme cuenta en AutoCAD.</t>
        </is>
      </c>
      <c r="P119" s="98" t="n">
        <v>0</v>
      </c>
      <c r="Q119" s="99" t="n"/>
      <c r="R119" s="99" t="n"/>
      <c r="S119" s="50" t="e">
        <v>#REF!</v>
      </c>
    </row>
    <row r="120" ht="30" customHeight="1">
      <c r="A120" s="55" t="inlineStr">
        <is>
          <t>CP118</t>
        </is>
      </c>
      <c r="B120" s="55" t="inlineStr">
        <is>
          <t>CERRADA</t>
        </is>
      </c>
      <c r="C120" s="56" t="n"/>
      <c r="E120" s="58" t="n">
        <v>45412</v>
      </c>
      <c r="F120" s="57" t="n">
        <v>1314</v>
      </c>
      <c r="G120" s="55" t="inlineStr">
        <is>
          <t>REP-ERF - 1314. 00. DISTRIPLAC MURCIA BASIC FOAM BLANCO MUR</t>
        </is>
      </c>
      <c r="H120" s="55" t="inlineStr">
        <is>
          <t>DISTRIPLAC</t>
        </is>
      </c>
      <c r="I120" s="55" t="inlineStr">
        <is>
          <t>Paco Candela</t>
        </is>
      </c>
      <c r="J120" s="55" t="inlineStr">
        <is>
          <t>Luis</t>
        </is>
      </c>
      <c r="K120" s="55" t="inlineStr">
        <is>
          <t>Fabricación</t>
        </is>
      </c>
      <c r="L120" s="55" t="e">
        <v>#REF!</v>
      </c>
      <c r="M120" s="59" t="inlineStr">
        <is>
          <t>Reposicion a cliente</t>
        </is>
      </c>
      <c r="N120" s="55" t="inlineStr">
        <is>
          <t>Deben revisarse los paneles antes de pintar</t>
        </is>
      </c>
      <c r="O120" s="46" t="inlineStr">
        <is>
          <t>Son 90ud de basic pintado en blanco y se han enviado algunas unidades amarillentas. El cliente lo ha instalado.</t>
        </is>
      </c>
      <c r="P120" s="101" t="n">
        <v>0</v>
      </c>
      <c r="Q120" s="102" t="n"/>
      <c r="R120" s="102" t="n"/>
      <c r="S120" s="55" t="e">
        <v>#REF!</v>
      </c>
    </row>
    <row r="121" ht="30" customHeight="1">
      <c r="A121" s="50" t="inlineStr">
        <is>
          <t>CP119</t>
        </is>
      </c>
      <c r="B121" s="50" t="inlineStr">
        <is>
          <t>CERRADA</t>
        </is>
      </c>
      <c r="C121" s="51" t="n"/>
      <c r="D121" s="52" t="n"/>
      <c r="E121" s="53" t="n">
        <v>45414</v>
      </c>
      <c r="F121" s="52" t="n">
        <v>244</v>
      </c>
      <c r="G121" s="50" t="inlineStr">
        <is>
          <t>REP-ERT2 -244. 01. OFICINA CS SONAE_CASCAIS_CASTELHANO_ECOBASIC_</t>
        </is>
      </c>
      <c r="H121" s="50" t="inlineStr">
        <is>
          <t>CASTELHANO FERRERIA</t>
        </is>
      </c>
      <c r="I121" s="50" t="inlineStr">
        <is>
          <t>PAULO</t>
        </is>
      </c>
      <c r="J121" s="50" t="inlineStr">
        <is>
          <t>Luis</t>
        </is>
      </c>
      <c r="K121" s="50" t="inlineStr">
        <is>
          <t>Error técnico</t>
        </is>
      </c>
      <c r="L121" s="50" t="e">
        <v>#REF!</v>
      </c>
      <c r="M121" s="54" t="inlineStr">
        <is>
          <t>reposicion al cliente</t>
        </is>
      </c>
      <c r="N121" s="50" t="inlineStr">
        <is>
          <t>Más atención</t>
        </is>
      </c>
      <c r="O121" s="47" t="inlineStr">
        <is>
          <t xml:space="preserve">Reponer 1 Double. Eran 4 paneles pegados pero solo se mandaron hacer 2 paneles pegados. </t>
        </is>
      </c>
      <c r="P121" s="98" t="n">
        <v>0</v>
      </c>
      <c r="Q121" s="99" t="n"/>
      <c r="R121" s="99" t="n"/>
      <c r="S121" s="50" t="e">
        <v>#REF!</v>
      </c>
    </row>
    <row r="122" ht="45" customHeight="1">
      <c r="A122" s="55" t="inlineStr">
        <is>
          <t>CP120</t>
        </is>
      </c>
      <c r="B122" s="55" t="inlineStr">
        <is>
          <t>CERRADA</t>
        </is>
      </c>
      <c r="C122" s="56" t="n"/>
      <c r="E122" s="58" t="n">
        <v>45418</v>
      </c>
      <c r="F122" s="57" t="n">
        <v>450</v>
      </c>
      <c r="G122" s="55" t="inlineStr">
        <is>
          <t>REP-IT - 450. 01. OFICINAS ERNTEBAND_WINNENDEN_ERNTEBAND_ECOWALL DOU</t>
        </is>
      </c>
      <c r="H122" s="55" t="inlineStr">
        <is>
          <t>ERTEBAND</t>
        </is>
      </c>
      <c r="I122" s="55" t="inlineStr">
        <is>
          <t>Paloma</t>
        </is>
      </c>
      <c r="J122" s="55" t="inlineStr">
        <is>
          <t>Luis</t>
        </is>
      </c>
      <c r="K122" s="55" t="inlineStr">
        <is>
          <t>Transporte</t>
        </is>
      </c>
      <c r="L122" s="55" t="e">
        <v>#REF!</v>
      </c>
      <c r="M122" s="59" t="inlineStr">
        <is>
          <t>reposicion al cliente</t>
        </is>
      </c>
      <c r="O122" s="46" t="inlineStr">
        <is>
          <t>3 ECOwall double dañados</t>
        </is>
      </c>
      <c r="P122" s="101" t="n">
        <v>0</v>
      </c>
      <c r="Q122" s="102" t="n"/>
      <c r="R122" s="102" t="n"/>
      <c r="S122" s="55" t="e">
        <v>#REF!</v>
      </c>
    </row>
    <row r="123" ht="45" customHeight="1">
      <c r="A123" s="50" t="inlineStr">
        <is>
          <t>CP121</t>
        </is>
      </c>
      <c r="B123" s="50" t="inlineStr">
        <is>
          <t>CERRADA</t>
        </is>
      </c>
      <c r="C123" s="51" t="n"/>
      <c r="D123" s="52" t="n"/>
      <c r="E123" s="53" t="n">
        <v>45419</v>
      </c>
      <c r="F123" s="52" t="inlineStr">
        <is>
          <t>1758. 02</t>
        </is>
      </c>
      <c r="G123" s="50" t="inlineStr">
        <is>
          <t>REP-DC-1758. 02. MAKING WINE VINOLOGY_PATY POMBO INTERIORISMO MAD</t>
        </is>
      </c>
      <c r="H123" s="50" t="inlineStr">
        <is>
          <t>MAKING WINE (PATY POMBO)</t>
        </is>
      </c>
      <c r="I123" s="50" t="inlineStr">
        <is>
          <t>Jorge Rubio</t>
        </is>
      </c>
      <c r="J123" s="50" t="inlineStr">
        <is>
          <t>Angela</t>
        </is>
      </c>
      <c r="K123" s="50" t="inlineStr">
        <is>
          <t>Defecto por cliente</t>
        </is>
      </c>
      <c r="L123" s="50" t="e">
        <v>#REF!</v>
      </c>
      <c r="M123" s="54" t="inlineStr">
        <is>
          <t>reposicion al cliente</t>
        </is>
      </c>
      <c r="N123" s="50" t="n"/>
      <c r="O123" s="47" t="inlineStr">
        <is>
          <t>No realizar suministro según plano, y si se hace así porque lo instalan los instaladores de confianza, que se compre a través de instaladores para que se hagan cargo de si hay errores.-3 ECObasic -10ml y 1 ECObasic+10ml</t>
        </is>
      </c>
      <c r="P123" s="98" t="n">
        <v>0</v>
      </c>
      <c r="Q123" s="99" t="n"/>
      <c r="R123" s="99" t="n"/>
      <c r="S123" s="50" t="e">
        <v>#REF!</v>
      </c>
    </row>
    <row r="124" ht="30" customHeight="1">
      <c r="A124" s="55" t="inlineStr">
        <is>
          <t>CP122</t>
        </is>
      </c>
      <c r="B124" s="55" t="inlineStr">
        <is>
          <t>CERRADA</t>
        </is>
      </c>
      <c r="C124" s="56" t="n"/>
      <c r="E124" s="58" t="n">
        <v>45419</v>
      </c>
      <c r="F124" s="57" t="n">
        <v>1962</v>
      </c>
      <c r="G124" s="55" t="inlineStr">
        <is>
          <t>REP-ERF - 1962. 02. PEÑALVER PANELES ECO RANURADO Y BISELADO JAEN</t>
        </is>
      </c>
      <c r="H124" s="55" t="inlineStr">
        <is>
          <t>PEÑALVER Y CASTRO</t>
        </is>
      </c>
      <c r="I124" s="55" t="inlineStr">
        <is>
          <t>Jorge blanco</t>
        </is>
      </c>
      <c r="J124" s="55" t="inlineStr">
        <is>
          <t>Luis</t>
        </is>
      </c>
      <c r="K124" s="55" t="inlineStr">
        <is>
          <t>Fabricación</t>
        </is>
      </c>
      <c r="L124" s="55" t="e">
        <v>#REF!</v>
      </c>
      <c r="M124" s="59" t="inlineStr">
        <is>
          <t>reposicion al cliente</t>
        </is>
      </c>
      <c r="N124" s="55" t="inlineStr">
        <is>
          <t>Controlar los lotes y cortar según dwg</t>
        </is>
      </c>
      <c r="O124" s="46" t="inlineStr">
        <is>
          <t>3 ECOwall +10ml + 12ECOwall -10ml. Cambio de tono y bisel en medio de panel sin contemplarlo el dwg</t>
        </is>
      </c>
      <c r="P124" s="101" t="n">
        <v>0</v>
      </c>
      <c r="Q124" s="102" t="n"/>
      <c r="R124" s="102" t="n"/>
      <c r="S124" s="55" t="e">
        <v>#REF!</v>
      </c>
    </row>
    <row r="125" ht="30" customHeight="1">
      <c r="A125" s="50" t="inlineStr">
        <is>
          <t>CP123</t>
        </is>
      </c>
      <c r="B125" s="50" t="inlineStr">
        <is>
          <t>CERRADA</t>
        </is>
      </c>
      <c r="C125" s="51" t="n"/>
      <c r="D125" s="52" t="n"/>
      <c r="E125" s="53" t="n">
        <v>45419</v>
      </c>
      <c r="F125" s="52" t="n">
        <v>7079</v>
      </c>
      <c r="G125" s="50" t="inlineStr">
        <is>
          <t>REP- ERF. 7079.00 .AA SRQ SELVA GABINETE SEGUROS</t>
        </is>
      </c>
      <c r="H125" s="50" t="inlineStr">
        <is>
          <t>SRQ SELVA GABINETE SEGUROS</t>
        </is>
      </c>
      <c r="I125" s="50" t="inlineStr">
        <is>
          <t>Javi lópez</t>
        </is>
      </c>
      <c r="J125" s="50" t="inlineStr">
        <is>
          <t>Javi López</t>
        </is>
      </c>
      <c r="K125" s="50" t="inlineStr">
        <is>
          <t>Fabricación</t>
        </is>
      </c>
      <c r="L125" s="50" t="e">
        <v>#REF!</v>
      </c>
      <c r="M125" s="54" t="inlineStr">
        <is>
          <t>Sustitución al cliente</t>
        </is>
      </c>
      <c r="N125" s="50" t="inlineStr">
        <is>
          <t>Asegurarnos de que el pedido salga en ECO-104</t>
        </is>
      </c>
      <c r="O125" s="47" t="inlineStr">
        <is>
          <t>185 techo técnico Se produjo en ECO - 104 en lugar de ECO - 107</t>
        </is>
      </c>
      <c r="P125" s="98" t="n">
        <v>0</v>
      </c>
      <c r="Q125" s="99" t="n"/>
      <c r="R125" s="99" t="n"/>
      <c r="S125" s="50" t="e">
        <v>#REF!</v>
      </c>
    </row>
    <row r="126" ht="30" customHeight="1">
      <c r="A126" s="55" t="inlineStr">
        <is>
          <t>CP124</t>
        </is>
      </c>
      <c r="B126" s="55" t="inlineStr">
        <is>
          <t>CERRADA</t>
        </is>
      </c>
      <c r="C126" s="56" t="n"/>
      <c r="E126" s="58" t="n">
        <v>45421</v>
      </c>
      <c r="F126" s="57" t="n">
        <v>473</v>
      </c>
      <c r="G126" s="55" t="inlineStr">
        <is>
          <t>REP-COM. 473. 00. LABORATORIO TECH MADRID GESAB FOAM + RAW CAT</t>
        </is>
      </c>
      <c r="H126" s="55" t="inlineStr">
        <is>
          <t>GESAB</t>
        </is>
      </c>
      <c r="I126" s="55" t="inlineStr">
        <is>
          <t>Manel</t>
        </is>
      </c>
      <c r="J126" s="55" t="inlineStr">
        <is>
          <t>Angela</t>
        </is>
      </c>
      <c r="K126" s="55" t="inlineStr">
        <is>
          <t>Defecto por comercial</t>
        </is>
      </c>
      <c r="L126" s="55" t="e">
        <v>#REF!</v>
      </c>
      <c r="M126" s="59" t="inlineStr">
        <is>
          <t>Sustitución al cliente</t>
        </is>
      </c>
      <c r="N126" s="55" t="inlineStr">
        <is>
          <t>Asesorar al cliente y sobre el producto y comprobar dónde y cómo lo quiere colocar</t>
        </is>
      </c>
      <c r="O126" s="46" t="inlineStr">
        <is>
          <t>10 Ud rectangulos 3D pintados. El comercial dío por hecho que iban en techo, y lo colocaron en pared y se han deteroriado</t>
        </is>
      </c>
      <c r="P126" s="101" t="n">
        <v>0</v>
      </c>
      <c r="Q126" s="102" t="n"/>
      <c r="R126" s="102" t="n"/>
      <c r="S126" s="55" t="e">
        <v>#REF!</v>
      </c>
    </row>
    <row r="127" ht="45" customHeight="1">
      <c r="A127" s="50" t="inlineStr">
        <is>
          <t>CP125</t>
        </is>
      </c>
      <c r="B127" s="50" t="inlineStr">
        <is>
          <t>CERRADA</t>
        </is>
      </c>
      <c r="C127" s="51" t="n"/>
      <c r="D127" s="52" t="n"/>
      <c r="E127" s="53" t="n">
        <v>45421</v>
      </c>
      <c r="F127" s="52" t="n">
        <v>2217</v>
      </c>
      <c r="G127" s="50" t="inlineStr">
        <is>
          <t>REP-ERF. 2217. 00. ESTILO D50 ECOBASIC GAL</t>
        </is>
      </c>
      <c r="H127" s="50" t="inlineStr">
        <is>
          <t>ESTILO D50</t>
        </is>
      </c>
      <c r="I127" s="50" t="inlineStr">
        <is>
          <t>Covadonga</t>
        </is>
      </c>
      <c r="J127" s="50" t="inlineStr">
        <is>
          <t>Mónica</t>
        </is>
      </c>
      <c r="K127" s="50" t="inlineStr">
        <is>
          <t>Fabricación</t>
        </is>
      </c>
      <c r="L127" s="50" t="e">
        <v>#REF!</v>
      </c>
      <c r="M127" s="54" t="inlineStr">
        <is>
          <t>Sustitución al cliente</t>
        </is>
      </c>
      <c r="N127" s="50" t="inlineStr">
        <is>
          <t>Enviar lo que pone en las tarjetas de trello + clas</t>
        </is>
      </c>
      <c r="O127" s="47" t="inlineStr">
        <is>
          <t>Recoger 60ud turbo y enviar 60ud adhesivo foam hacer abono de diferencia. El primer pedido era una prueba, debía enviarse turbo y se envió de foam. Ahora han pedido ampliación y hemos ampliado según trello y clasG pero en el inicial les enviamos foam por error y quieren lo mismo.</t>
        </is>
      </c>
      <c r="P127" s="98" t="n">
        <v>0</v>
      </c>
      <c r="Q127" s="99" t="n"/>
      <c r="R127" s="99" t="n"/>
      <c r="S127" s="50" t="e">
        <v>#REF!</v>
      </c>
    </row>
    <row r="128" ht="30" customHeight="1">
      <c r="A128" s="55" t="inlineStr">
        <is>
          <t>CP126</t>
        </is>
      </c>
      <c r="B128" s="55" t="inlineStr">
        <is>
          <t>CERRADA</t>
        </is>
      </c>
      <c r="C128" s="56" t="n"/>
      <c r="E128" s="58" t="n">
        <v>45421</v>
      </c>
      <c r="F128" s="57" t="n">
        <v>2113</v>
      </c>
      <c r="G128" s="55" t="inlineStr">
        <is>
          <t>REP-IT.2113. 00. JG GROUP ECOWORKING REFª 64244 CAT</t>
        </is>
      </c>
      <c r="H128" s="55" t="inlineStr">
        <is>
          <t>JG GROUP</t>
        </is>
      </c>
      <c r="I128" s="55" t="inlineStr">
        <is>
          <t>Manel</t>
        </is>
      </c>
      <c r="J128" s="55" t="inlineStr">
        <is>
          <t>Angela</t>
        </is>
      </c>
      <c r="K128" s="55" t="inlineStr">
        <is>
          <t>Transporte</t>
        </is>
      </c>
      <c r="L128" s="55" t="e">
        <v>#REF!</v>
      </c>
      <c r="M128" s="59" t="inlineStr">
        <is>
          <t>Sustitución al cliente</t>
        </is>
      </c>
      <c r="N128" s="55" t="inlineStr">
        <is>
          <t>Enviar un ECOworking</t>
        </is>
      </c>
      <c r="O128" s="46" t="inlineStr">
        <is>
          <t>El ECOworking va marcado</t>
        </is>
      </c>
      <c r="P128" s="101" t="n">
        <v>75</v>
      </c>
      <c r="Q128" s="102" t="n"/>
      <c r="R128" s="102" t="n"/>
      <c r="S128" s="55" t="e">
        <v>#REF!</v>
      </c>
    </row>
    <row r="129" ht="30" customHeight="1">
      <c r="A129" s="50" t="inlineStr">
        <is>
          <t>CP127</t>
        </is>
      </c>
      <c r="B129" s="50" t="inlineStr">
        <is>
          <t>CERRADA</t>
        </is>
      </c>
      <c r="C129" s="51" t="n"/>
      <c r="D129" s="52" t="n"/>
      <c r="E129" s="53" t="n">
        <v>45425</v>
      </c>
      <c r="F129" s="52" t="n">
        <v>2217</v>
      </c>
      <c r="G129" s="50" t="inlineStr">
        <is>
          <t>REP-ERT. 2217. 00. ESTILO D50 ECOBASIC GAL</t>
        </is>
      </c>
      <c r="H129" s="50" t="inlineStr">
        <is>
          <t>ESTILO D50</t>
        </is>
      </c>
      <c r="I129" s="50" t="inlineStr">
        <is>
          <t>Covadonga</t>
        </is>
      </c>
      <c r="J129" s="50" t="inlineStr">
        <is>
          <t>Rashli</t>
        </is>
      </c>
      <c r="K129" s="50" t="inlineStr">
        <is>
          <t>Error técnico</t>
        </is>
      </c>
      <c r="L129" s="50" t="e">
        <v>#REF!</v>
      </c>
      <c r="M129" s="54" t="inlineStr">
        <is>
          <t>Reposicion a cliente</t>
        </is>
      </c>
      <c r="N129" s="50" t="inlineStr">
        <is>
          <t>Copiar y pegar bien las partidas en classicges</t>
        </is>
      </c>
      <c r="O129" s="47" t="inlineStr">
        <is>
          <t>Reponer 39 ECObasic 12mm. El pedido lleva paneles de espesor 12 mm, en clasicges esstá bien pero en trello pone 9 mm</t>
        </is>
      </c>
      <c r="P129" s="98" t="n">
        <v>5616</v>
      </c>
      <c r="Q129" s="99" t="n"/>
      <c r="R129" s="99" t="n"/>
      <c r="S129" s="50" t="e">
        <v>#REF!</v>
      </c>
    </row>
    <row r="130" ht="30" customHeight="1">
      <c r="A130" s="55" t="inlineStr">
        <is>
          <t>CP128</t>
        </is>
      </c>
      <c r="B130" s="55" t="inlineStr">
        <is>
          <t>CERRADA</t>
        </is>
      </c>
      <c r="C130" s="56" t="n"/>
      <c r="E130" s="58" t="n">
        <v>45425</v>
      </c>
      <c r="F130" s="57" t="n">
        <v>2322</v>
      </c>
      <c r="G130" s="55" t="inlineStr">
        <is>
          <t>REP-ERT.  2322. 00. PUJOL ILUMINACION TULIPAS CON TAPA CAT</t>
        </is>
      </c>
      <c r="I130" s="55" t="inlineStr">
        <is>
          <t>Manel</t>
        </is>
      </c>
      <c r="J130" s="55" t="inlineStr">
        <is>
          <t>Angela</t>
        </is>
      </c>
      <c r="K130" s="55" t="inlineStr">
        <is>
          <t>Error técnico</t>
        </is>
      </c>
      <c r="L130" s="55" t="e">
        <v>#REF!</v>
      </c>
      <c r="M130" s="59" t="inlineStr">
        <is>
          <t>Reposicion a cliente</t>
        </is>
      </c>
      <c r="N130" s="55" t="inlineStr">
        <is>
          <t>Hacer el DXF más claro. Separando piezas de tulipas y piezas independientes</t>
        </is>
      </c>
      <c r="O130" s="46" t="inlineStr">
        <is>
          <t>El pedido piden 4 paneles con círculos sin bisel. En DXF estaba junto con las tulipas que llevaban bisel.  Se hacen todos con bisel</t>
        </is>
      </c>
      <c r="P130" s="101">
        <f>4*240*0.5</f>
        <v/>
      </c>
      <c r="Q130" s="102" t="n"/>
      <c r="R130" s="102" t="n"/>
      <c r="S130" s="55" t="e">
        <v>#REF!</v>
      </c>
    </row>
    <row r="131" ht="30" customHeight="1">
      <c r="A131" s="50" t="inlineStr">
        <is>
          <t>CP129</t>
        </is>
      </c>
      <c r="B131" s="50" t="inlineStr">
        <is>
          <t>CERRADA</t>
        </is>
      </c>
      <c r="C131" s="51" t="n"/>
      <c r="D131" s="52" t="n"/>
      <c r="E131" s="53" t="n">
        <v>45426</v>
      </c>
      <c r="F131" s="52" t="n">
        <v>2224</v>
      </c>
      <c r="G131" s="50" t="inlineStr">
        <is>
          <t>REP-ERT. 2224. 00. ESPAI ICARIA ECOPRINT PERSONALIZADO SHOWROOM CAT</t>
        </is>
      </c>
      <c r="H131" s="50" t="inlineStr">
        <is>
          <t>ESPAI</t>
        </is>
      </c>
      <c r="I131" s="50" t="inlineStr">
        <is>
          <t>Manel</t>
        </is>
      </c>
      <c r="J131" s="50" t="inlineStr">
        <is>
          <t>Angela</t>
        </is>
      </c>
      <c r="K131" s="50" t="inlineStr">
        <is>
          <t>Error técnico</t>
        </is>
      </c>
      <c r="L131" s="50" t="e">
        <v>#REF!</v>
      </c>
      <c r="M131" s="54" t="inlineStr">
        <is>
          <t>Reposicion a cliente</t>
        </is>
      </c>
      <c r="N131" s="50" t="inlineStr">
        <is>
          <t>Ver con fábrica casos distintos. DXF correcto pero no sé indicó que era ya con la vuelta al panel</t>
        </is>
      </c>
      <c r="O131" s="47" t="inlineStr">
        <is>
          <t>1 impreso que había que biselar por la otra cara, y en fábrica se hizo simetria al DXF, pero ya estaba hecha la simetría en archivo.</t>
        </is>
      </c>
      <c r="P131" s="98" t="n">
        <v>210</v>
      </c>
      <c r="Q131" s="99" t="n"/>
      <c r="R131" s="99" t="n"/>
      <c r="S131" s="50" t="e">
        <v>#REF!</v>
      </c>
    </row>
    <row r="132" ht="30" customHeight="1">
      <c r="A132" s="55" t="inlineStr">
        <is>
          <t>CP130</t>
        </is>
      </c>
      <c r="B132" s="55" t="inlineStr">
        <is>
          <t>CERRADA</t>
        </is>
      </c>
      <c r="C132" s="56" t="n"/>
      <c r="E132" s="58" t="n">
        <v>45426</v>
      </c>
      <c r="F132" s="57" t="n">
        <v>2301</v>
      </c>
      <c r="G132" s="55" t="inlineStr">
        <is>
          <t>REP-IT - 2301. 00. BESTNR 661515_FRANKENNE_ECONORIDK_GER</t>
        </is>
      </c>
      <c r="I132" s="55" t="inlineStr">
        <is>
          <t>Paloma</t>
        </is>
      </c>
      <c r="J132" s="55" t="inlineStr">
        <is>
          <t>Luis</t>
        </is>
      </c>
      <c r="K132" s="55" t="inlineStr">
        <is>
          <t>Transporte</t>
        </is>
      </c>
      <c r="L132" s="55" t="e">
        <v>#REF!</v>
      </c>
      <c r="M132" s="59" t="inlineStr">
        <is>
          <t>Reposicion a cliente</t>
        </is>
      </c>
      <c r="O132" s="46" t="inlineStr">
        <is>
          <t>Palet dañado. 9 ECOnordiks</t>
        </is>
      </c>
      <c r="P132" s="101" t="n">
        <v>0</v>
      </c>
      <c r="Q132" s="102" t="n"/>
      <c r="R132" s="102" t="n"/>
      <c r="S132" s="55" t="e">
        <v>#REF!</v>
      </c>
    </row>
    <row r="133">
      <c r="A133" s="50" t="inlineStr">
        <is>
          <t>CP131</t>
        </is>
      </c>
      <c r="B133" s="50" t="inlineStr">
        <is>
          <t>CERRADA</t>
        </is>
      </c>
      <c r="C133" s="51" t="n"/>
      <c r="D133" s="52" t="n"/>
      <c r="E133" s="53" t="n">
        <v>45433</v>
      </c>
      <c r="F133" s="52" t="n">
        <v>4003</v>
      </c>
      <c r="G133" s="50" t="inlineStr">
        <is>
          <t>REP-PRO 4003. 3. TETRIS CHUBB PLANTA 4 MAD</t>
        </is>
      </c>
      <c r="H133" s="50" t="inlineStr">
        <is>
          <t>TETRIS</t>
        </is>
      </c>
      <c r="I133" s="50" t="inlineStr">
        <is>
          <t>Ricardo de Juan</t>
        </is>
      </c>
      <c r="J133" s="50" t="inlineStr">
        <is>
          <t>Diego</t>
        </is>
      </c>
      <c r="K133" s="50" t="inlineStr">
        <is>
          <t>Proveedor</t>
        </is>
      </c>
      <c r="L133" s="50" t="e">
        <v>#REF!</v>
      </c>
      <c r="M133" s="54" t="inlineStr">
        <is>
          <t>Reposicion a cliente</t>
        </is>
      </c>
      <c r="N133" s="50" t="n"/>
      <c r="O133" s="47" t="inlineStr">
        <is>
          <t>El pedido se se hizo en 02/2023 y ahora 05/2023 reclaman que se están curvando lod baffles de foam</t>
        </is>
      </c>
      <c r="P133" s="98" t="n">
        <v>3011.8</v>
      </c>
      <c r="Q133" s="99" t="n"/>
      <c r="R133" s="99" t="n"/>
      <c r="S133" s="50" t="e">
        <v>#REF!</v>
      </c>
    </row>
    <row r="134" ht="30" customHeight="1">
      <c r="A134" s="55" t="inlineStr">
        <is>
          <t>CP132</t>
        </is>
      </c>
      <c r="B134" s="55" t="inlineStr">
        <is>
          <t>CERRADA</t>
        </is>
      </c>
      <c r="C134" s="56" t="n"/>
      <c r="E134" s="58" t="n">
        <v>45434</v>
      </c>
      <c r="F134" s="57" t="n">
        <v>1798</v>
      </c>
      <c r="G134" s="55" t="inlineStr">
        <is>
          <t>REP-ERF 1798. 01. MOBLIBERICA LOGOS ESPAI-ICARIA CAT</t>
        </is>
      </c>
      <c r="H134" s="55" t="inlineStr">
        <is>
          <t>mobliberica</t>
        </is>
      </c>
      <c r="I134" s="55" t="inlineStr">
        <is>
          <t>Manel</t>
        </is>
      </c>
      <c r="J134" s="55" t="inlineStr">
        <is>
          <t>Angela</t>
        </is>
      </c>
      <c r="K134" s="55" t="inlineStr">
        <is>
          <t>Fabricación</t>
        </is>
      </c>
      <c r="L134" s="55" t="e">
        <v>#REF!</v>
      </c>
      <c r="M134" s="59" t="inlineStr">
        <is>
          <t>Reposicion a cliente</t>
        </is>
      </c>
      <c r="N134" s="55" t="inlineStr">
        <is>
          <t>Aclarar bien todo con fabricación</t>
        </is>
      </c>
      <c r="O134" s="46" t="inlineStr">
        <is>
          <t xml:space="preserve">Es medio panel. Es para una expositor que debe doblarse. Se puso con corte no pasante pero se realizó con corte. Error mixto porque para el prototipo es mejor con bisel. Se vuelve a realizar. </t>
        </is>
      </c>
      <c r="P134" s="101" t="n">
        <v>0</v>
      </c>
      <c r="Q134" s="102" t="n"/>
      <c r="R134" s="102" t="n"/>
      <c r="S134" s="55" t="e">
        <v>#REF!</v>
      </c>
    </row>
    <row r="135">
      <c r="A135" s="50" t="inlineStr">
        <is>
          <t>CP133</t>
        </is>
      </c>
      <c r="B135" s="50" t="inlineStr">
        <is>
          <t>CERRADA</t>
        </is>
      </c>
      <c r="C135" s="51" t="n"/>
      <c r="D135" s="52" t="n"/>
      <c r="E135" s="53" t="n">
        <v>45434</v>
      </c>
      <c r="F135" s="52" t="n">
        <v>202</v>
      </c>
      <c r="G135" s="50" t="inlineStr">
        <is>
          <t>REP-ERT2 - 202. 00. BELIOS OFICINAS AND</t>
        </is>
      </c>
      <c r="H135" s="50" t="inlineStr">
        <is>
          <t>BELIOS</t>
        </is>
      </c>
      <c r="I135" s="50" t="inlineStr">
        <is>
          <t>-</t>
        </is>
      </c>
      <c r="J135" s="50" t="inlineStr">
        <is>
          <t>Luis</t>
        </is>
      </c>
      <c r="K135" s="50" t="inlineStr">
        <is>
          <t>Error técnico</t>
        </is>
      </c>
      <c r="L135" s="50" t="e">
        <v>#REF!</v>
      </c>
      <c r="M135" s="54" t="inlineStr">
        <is>
          <t>Reposicion a cliente</t>
        </is>
      </c>
      <c r="N135" s="50" t="inlineStr">
        <is>
          <t>Revisar bien DXF</t>
        </is>
      </c>
      <c r="O135" s="47" t="inlineStr">
        <is>
          <t>9 paneles Aline Se dibujo mal el dxf</t>
        </is>
      </c>
      <c r="P135" s="98" t="n">
        <v>0</v>
      </c>
      <c r="Q135" s="99" t="n"/>
      <c r="R135" s="99" t="n"/>
      <c r="S135" s="50" t="e">
        <v>#REF!</v>
      </c>
    </row>
    <row r="136">
      <c r="A136" s="55" t="inlineStr">
        <is>
          <t>CP134</t>
        </is>
      </c>
      <c r="B136" s="55" t="inlineStr">
        <is>
          <t>CERRADA</t>
        </is>
      </c>
      <c r="C136" s="56" t="n"/>
      <c r="E136" s="58" t="n">
        <v>45435</v>
      </c>
      <c r="F136" s="57" t="n">
        <v>2796</v>
      </c>
      <c r="G136" s="55" t="inlineStr">
        <is>
          <t>REP-IT 2796. 00. PLB AMPLICACIÓN P2096 CAT</t>
        </is>
      </c>
      <c r="H136" s="55" t="inlineStr">
        <is>
          <t>PLB</t>
        </is>
      </c>
      <c r="I136" s="55" t="inlineStr">
        <is>
          <t>Manel</t>
        </is>
      </c>
      <c r="J136" s="55" t="inlineStr">
        <is>
          <t>Angela</t>
        </is>
      </c>
      <c r="K136" s="55" t="inlineStr">
        <is>
          <t>Transporte</t>
        </is>
      </c>
      <c r="L136" s="55" t="e">
        <v>#REF!</v>
      </c>
      <c r="M136" s="59" t="inlineStr">
        <is>
          <t>Reposicion a cliente</t>
        </is>
      </c>
      <c r="O136" s="46" t="inlineStr">
        <is>
          <t>La agencia de transporte perdió el paquete.</t>
        </is>
      </c>
      <c r="P136" s="101" t="n">
        <v>0</v>
      </c>
      <c r="Q136" s="102" t="n"/>
      <c r="R136" s="102" t="n"/>
      <c r="S136" s="55" t="e">
        <v>#REF!</v>
      </c>
    </row>
    <row r="137" ht="30" customHeight="1">
      <c r="A137" s="50" t="inlineStr">
        <is>
          <t>CP135</t>
        </is>
      </c>
      <c r="B137" s="50" t="inlineStr">
        <is>
          <t>CERRADA</t>
        </is>
      </c>
      <c r="C137" s="51" t="n"/>
      <c r="D137" s="52" t="n"/>
      <c r="E137" s="53" t="n">
        <v>45436</v>
      </c>
      <c r="F137" s="52" t="n">
        <v>2076</v>
      </c>
      <c r="G137" s="50" t="inlineStr">
        <is>
          <t>REP-IT 2076. 00. HOSTELERÍA Y DECORACIÓN COLEGIO FARMACEUTICOS CYL</t>
        </is>
      </c>
      <c r="H137" s="50" t="inlineStr">
        <is>
          <t>HOSTELERIA Y DECORACION SIGLO XXI</t>
        </is>
      </c>
      <c r="I137" s="50" t="inlineStr">
        <is>
          <t>Juanjo</t>
        </is>
      </c>
      <c r="J137" s="50" t="inlineStr">
        <is>
          <t>Diego</t>
        </is>
      </c>
      <c r="K137" s="50" t="inlineStr">
        <is>
          <t>Transporte</t>
        </is>
      </c>
      <c r="L137" s="50" t="e">
        <v>#REF!</v>
      </c>
      <c r="M137" s="54" t="inlineStr">
        <is>
          <t>Reposicion a cliente</t>
        </is>
      </c>
      <c r="N137" s="50" t="n"/>
      <c r="O137" s="47" t="inlineStr">
        <is>
          <t>La agencia de transporte daña el paquete</t>
        </is>
      </c>
      <c r="P137" s="98" t="n">
        <v>0</v>
      </c>
      <c r="Q137" s="99" t="n"/>
      <c r="R137" s="99" t="n"/>
      <c r="S137" s="50" t="e">
        <v>#REF!</v>
      </c>
    </row>
    <row r="138" ht="30" customHeight="1">
      <c r="A138" s="55" t="inlineStr">
        <is>
          <t>CP136</t>
        </is>
      </c>
      <c r="B138" s="55" t="inlineStr">
        <is>
          <t>CERRADA</t>
        </is>
      </c>
      <c r="C138" s="56" t="n"/>
      <c r="E138" s="58" t="n">
        <v>45439</v>
      </c>
      <c r="F138" s="57" t="n">
        <v>2659</v>
      </c>
      <c r="G138" s="55" t="inlineStr">
        <is>
          <t>REP-ERF 2659. 00. SERTEBRA CBRE LAS ROZAS EXTRA 2 MAD</t>
        </is>
      </c>
      <c r="H138" s="55" t="inlineStr">
        <is>
          <t>SERTEBRA</t>
        </is>
      </c>
      <c r="I138" s="55" t="inlineStr">
        <is>
          <t>Jorge Rubio</t>
        </is>
      </c>
      <c r="J138" s="55" t="inlineStr">
        <is>
          <t>Diego</t>
        </is>
      </c>
      <c r="K138" s="55" t="inlineStr">
        <is>
          <t>Fabricación</t>
        </is>
      </c>
      <c r="L138" s="55" t="e">
        <v>#REF!</v>
      </c>
      <c r="M138" s="59" t="inlineStr">
        <is>
          <t>Reposicion a cliente</t>
        </is>
      </c>
      <c r="N138" s="55" t="inlineStr">
        <is>
          <t>Revisión de tonalidad/lote de paneles en mismo pedido</t>
        </is>
      </c>
      <c r="O138" s="46" t="inlineStr">
        <is>
          <t>Reponer 2ECOwall v-cut tono clar.  De 5 paneles MOON GRAY con bisel del pedido, se han enviado 3 de un tono y 2 de otro tono.</t>
        </is>
      </c>
      <c r="P138" s="101" t="n">
        <v>0</v>
      </c>
      <c r="Q138" s="102" t="n"/>
      <c r="R138" s="102" t="n"/>
      <c r="S138" s="55" t="e">
        <v>#REF!</v>
      </c>
    </row>
    <row r="139" ht="30" customHeight="1">
      <c r="A139" s="50" t="inlineStr">
        <is>
          <t>CP137</t>
        </is>
      </c>
      <c r="B139" s="50" t="inlineStr">
        <is>
          <t>CERRADA</t>
        </is>
      </c>
      <c r="C139" s="51" t="n"/>
      <c r="D139" s="52" t="n"/>
      <c r="E139" s="53" t="n">
        <v>45439</v>
      </c>
      <c r="F139" s="52" t="n">
        <v>2427</v>
      </c>
      <c r="G139" s="50" t="inlineStr">
        <is>
          <t>REP-IT - 2427. 03. 661821_AACHEN_FRANKENNE_ECONORDIK</t>
        </is>
      </c>
      <c r="H139" s="50" t="n"/>
      <c r="I139" s="50" t="inlineStr">
        <is>
          <t>Paloma</t>
        </is>
      </c>
      <c r="J139" s="50" t="inlineStr">
        <is>
          <t>Luis</t>
        </is>
      </c>
      <c r="K139" s="50" t="inlineStr">
        <is>
          <t>Transporte</t>
        </is>
      </c>
      <c r="L139" s="50" t="e">
        <v>#REF!</v>
      </c>
      <c r="M139" s="54" t="inlineStr">
        <is>
          <t>Reposicion a cliente</t>
        </is>
      </c>
      <c r="N139" s="50" t="n"/>
      <c r="O139" s="47" t="inlineStr">
        <is>
          <t>2 ECOnordik NO IGN han llegado dañados transporte</t>
        </is>
      </c>
      <c r="P139" s="98" t="n">
        <v>0</v>
      </c>
      <c r="Q139" s="99" t="n"/>
      <c r="R139" s="99" t="n"/>
      <c r="S139" s="50" t="e">
        <v>#REF!</v>
      </c>
    </row>
    <row r="140" ht="30" customHeight="1">
      <c r="A140" s="55" t="inlineStr">
        <is>
          <t>CP138</t>
        </is>
      </c>
      <c r="B140" s="55" t="inlineStr">
        <is>
          <t>CERRADA</t>
        </is>
      </c>
      <c r="C140" s="56" t="n"/>
      <c r="E140" s="58" t="n">
        <v>45446</v>
      </c>
      <c r="F140" s="57" t="n">
        <v>2976</v>
      </c>
      <c r="G140" s="55" t="inlineStr">
        <is>
          <t>REP-IT 2976. 00. OFILLORCA ECOPANEL BA</t>
        </is>
      </c>
      <c r="H140" s="55" t="inlineStr">
        <is>
          <t>OFILLORCA</t>
        </is>
      </c>
      <c r="I140" s="55" t="inlineStr">
        <is>
          <t>José Luis Chico</t>
        </is>
      </c>
      <c r="J140" s="55" t="inlineStr">
        <is>
          <t>Rashli</t>
        </is>
      </c>
      <c r="K140" s="55" t="inlineStr">
        <is>
          <t>Transporte</t>
        </is>
      </c>
      <c r="L140" s="55" t="e">
        <v>#REF!</v>
      </c>
      <c r="M140" s="59" t="inlineStr">
        <is>
          <t>Reposicion a cliente</t>
        </is>
      </c>
      <c r="N140" s="55" t="inlineStr">
        <is>
          <t>Especificar la forma de empaquetado en función de la cantidd de paneles</t>
        </is>
      </c>
      <c r="O140" s="46" t="inlineStr">
        <is>
          <t>1 ECObasic 12mm Cuando un panel va suelto, es recomendable incluir un suplemento de paletización para que el panel no se doble ni se arrugue</t>
        </is>
      </c>
      <c r="P140" s="101" t="n"/>
      <c r="Q140" s="102" t="n"/>
      <c r="R140" s="102" t="n"/>
      <c r="S140" s="55" t="e">
        <v>#REF!</v>
      </c>
    </row>
    <row r="141" ht="45" customHeight="1">
      <c r="A141" s="50" t="inlineStr">
        <is>
          <t>CP139</t>
        </is>
      </c>
      <c r="B141" s="50" t="inlineStr">
        <is>
          <t>CERRADA</t>
        </is>
      </c>
      <c r="C141" s="51" t="n"/>
      <c r="D141" s="52" t="n"/>
      <c r="E141" s="53" t="n">
        <v>45450</v>
      </c>
      <c r="F141" s="52" t="n">
        <v>2740</v>
      </c>
      <c r="G141" s="50" t="inlineStr">
        <is>
          <t>REP-FC 2740._00._KEKKON_PROYECTO_TESTIGOS_DE_JEHOVA__MAD</t>
        </is>
      </c>
      <c r="H141" s="50" t="inlineStr">
        <is>
          <t>KEKKON</t>
        </is>
      </c>
      <c r="I141" s="50" t="inlineStr">
        <is>
          <t>Ricardo</t>
        </is>
      </c>
      <c r="J141" s="50" t="inlineStr">
        <is>
          <t>Angela</t>
        </is>
      </c>
      <c r="K141" s="50" t="inlineStr">
        <is>
          <t>Falta Componentes</t>
        </is>
      </c>
      <c r="L141" s="50" t="e">
        <v>#REF!</v>
      </c>
      <c r="M141" s="54" t="inlineStr">
        <is>
          <t>Reposicíon al cliente</t>
        </is>
      </c>
      <c r="N141" s="50" t="inlineStr">
        <is>
          <t>Revisar a la hora de empaquetar</t>
        </is>
      </c>
      <c r="O141" s="47" t="inlineStr">
        <is>
          <t>En pedido y trello se indicaba 66 anclajes TIPO B y el cliente indica que han llegado 58 Ud</t>
        </is>
      </c>
      <c r="P141" s="98" t="n">
        <v>0</v>
      </c>
      <c r="Q141" s="99" t="n"/>
      <c r="R141" s="99" t="n"/>
      <c r="S141" s="50" t="e">
        <v>#REF!</v>
      </c>
    </row>
    <row r="142" ht="45" customHeight="1">
      <c r="A142" s="55" t="inlineStr">
        <is>
          <t>CP140</t>
        </is>
      </c>
      <c r="B142" s="55" t="inlineStr">
        <is>
          <t>CERRADA</t>
        </is>
      </c>
      <c r="C142" s="56" t="n"/>
      <c r="E142" s="58" t="n">
        <v>45453</v>
      </c>
      <c r="F142" s="57" t="n">
        <v>2549</v>
      </c>
      <c r="G142" s="55" t="inlineStr">
        <is>
          <t>REP-ERF 2549. 03. TETRIS ALIGHT MAD</t>
        </is>
      </c>
      <c r="H142" s="55" t="inlineStr">
        <is>
          <t>TETRIS</t>
        </is>
      </c>
      <c r="I142" s="55" t="inlineStr">
        <is>
          <t>Ricardo</t>
        </is>
      </c>
      <c r="J142" s="55" t="inlineStr">
        <is>
          <t>Diego</t>
        </is>
      </c>
      <c r="K142" s="55" t="inlineStr">
        <is>
          <t>Fabricación</t>
        </is>
      </c>
      <c r="L142" s="55" t="e">
        <v>#REF!</v>
      </c>
      <c r="M142" s="59" t="inlineStr">
        <is>
          <t>Reposicíon al cliente</t>
        </is>
      </c>
      <c r="N142" s="55" t="inlineStr">
        <is>
          <t>Revisión de cara de panel que se bisela y comprobación de los colores de todos los paneles enviado</t>
        </is>
      </c>
      <c r="O142" s="46" t="inlineStr">
        <is>
          <t>1 Por rep, retal de 2 paneles para recortes error del cliente. Se envia un panel de otro tono (probablemente cara incorrecta biselada) y se añaden unas piezas pequeñas que se habían equivocado en la medición, supone muy poquito material eso</t>
        </is>
      </c>
      <c r="P142" s="101" t="n"/>
      <c r="Q142" s="102" t="n"/>
      <c r="R142" s="102" t="n"/>
      <c r="S142" s="55" t="e">
        <v>#REF!</v>
      </c>
    </row>
    <row r="143" ht="30" customHeight="1">
      <c r="A143" s="50" t="inlineStr">
        <is>
          <t>CP141</t>
        </is>
      </c>
      <c r="B143" s="50" t="inlineStr">
        <is>
          <t>CERRADA</t>
        </is>
      </c>
      <c r="C143" s="51" t="n"/>
      <c r="D143" s="52" t="n"/>
      <c r="E143" s="53" t="n">
        <v>45453</v>
      </c>
      <c r="F143" s="52" t="n">
        <v>2148</v>
      </c>
      <c r="G143" s="50" t="inlineStr">
        <is>
          <t>REP-FC 2148. 02. SIDI CONNSTUDIO OFICINA MAD</t>
        </is>
      </c>
      <c r="H143" s="50" t="inlineStr">
        <is>
          <t>SIDI</t>
        </is>
      </c>
      <c r="I143" s="50" t="inlineStr">
        <is>
          <t>Juanjo</t>
        </is>
      </c>
      <c r="J143" s="50" t="inlineStr">
        <is>
          <t>Diego</t>
        </is>
      </c>
      <c r="K143" s="50" t="inlineStr">
        <is>
          <t>Falta Componentes</t>
        </is>
      </c>
      <c r="L143" s="50" t="e">
        <v>#REF!</v>
      </c>
      <c r="M143" s="54" t="inlineStr">
        <is>
          <t>Abono al cliente</t>
        </is>
      </c>
      <c r="N143" s="50" t="inlineStr">
        <is>
          <t>Revisión de lo que se envía</t>
        </is>
      </c>
      <c r="O143" s="47" t="inlineStr">
        <is>
          <t>10ud adhesivo PET. No se han enviado los botes de adhesivo. El cliente ya no los quiere porque ha comprado en ferreteria. Hacer abono</t>
        </is>
      </c>
      <c r="P143" s="98" t="n"/>
      <c r="Q143" s="99" t="n"/>
      <c r="R143" s="99" t="n"/>
      <c r="S143" s="50" t="e">
        <v>#REF!</v>
      </c>
    </row>
    <row r="144" ht="45" customHeight="1">
      <c r="A144" s="55" t="inlineStr">
        <is>
          <t>CP142</t>
        </is>
      </c>
      <c r="B144" s="55" t="inlineStr">
        <is>
          <t>CERRADA</t>
        </is>
      </c>
      <c r="C144" s="56" t="n"/>
      <c r="E144" s="58" t="n">
        <v>45455</v>
      </c>
      <c r="F144" s="57" t="n">
        <v>1591</v>
      </c>
      <c r="G144" s="55" t="inlineStr">
        <is>
          <t>REP-MP 1591. 00. DECÓ LLEIDA PRAT DE LA RIBA CAT/1589. 00. DECÓ LLEIDA RAMBLA FERRAN CAT</t>
        </is>
      </c>
      <c r="H144" s="55" t="inlineStr">
        <is>
          <t>DECÓ LLEIDA</t>
        </is>
      </c>
      <c r="I144" s="55" t="inlineStr">
        <is>
          <t>Manel</t>
        </is>
      </c>
      <c r="J144" s="55" t="inlineStr">
        <is>
          <t>Angela</t>
        </is>
      </c>
      <c r="K144" s="55" t="inlineStr">
        <is>
          <t>Defecto Materia Prima</t>
        </is>
      </c>
      <c r="L144" s="55" t="e">
        <v>#REF!</v>
      </c>
      <c r="M144" s="59" t="inlineStr">
        <is>
          <t>Reposición al cliente</t>
        </is>
      </c>
      <c r="N144" s="55" t="inlineStr">
        <is>
          <t>Revisión de lo que se envía</t>
        </is>
      </c>
      <c r="O144" s="46" t="inlineStr">
        <is>
          <t>El adhesivo gama PET que se envía está caducado y dice que se le despegan los paneles. Se le le indica que envíe fotos y que nos hagan llegar la caja pero entonces indican que han gastado más por miedo a que se despeguen y se han quedado sin cola.</t>
        </is>
      </c>
      <c r="P144" s="101" t="n">
        <v>66</v>
      </c>
      <c r="Q144" s="102" t="n"/>
      <c r="R144" s="102" t="n"/>
      <c r="S144" s="55" t="e">
        <v>#REF!</v>
      </c>
    </row>
    <row r="145">
      <c r="A145" s="50" t="inlineStr">
        <is>
          <t>CP143</t>
        </is>
      </c>
      <c r="B145" s="50" t="inlineStr">
        <is>
          <t>CERRADA</t>
        </is>
      </c>
      <c r="C145" s="51" t="n"/>
      <c r="D145" s="52" t="n"/>
      <c r="E145" s="53" t="n">
        <v>45455</v>
      </c>
      <c r="F145" s="52" t="n">
        <v>659</v>
      </c>
      <c r="G145" s="50" t="inlineStr">
        <is>
          <t>REP-ERF - 659. 00. UNAMACOR ISLA FOAM AND</t>
        </is>
      </c>
      <c r="H145" s="50" t="inlineStr">
        <is>
          <t>UNAMACOR</t>
        </is>
      </c>
      <c r="I145" s="50" t="inlineStr">
        <is>
          <t>Javier Carreras</t>
        </is>
      </c>
      <c r="J145" s="50" t="inlineStr">
        <is>
          <t>Luis</t>
        </is>
      </c>
      <c r="K145" s="50" t="inlineStr">
        <is>
          <t>Fabricación</t>
        </is>
      </c>
      <c r="L145" s="50" t="e">
        <v>#REF!</v>
      </c>
      <c r="M145" s="54" t="inlineStr">
        <is>
          <t>Reposicion al cliente</t>
        </is>
      </c>
      <c r="N145" s="50" t="inlineStr">
        <is>
          <t>Mayor protección de mercancía</t>
        </is>
      </c>
      <c r="O145" s="47" t="inlineStr">
        <is>
          <t>13 uds de D1160 mm   8  uds de D1000 mm   2  uds de D800 mm islas foam color</t>
        </is>
      </c>
      <c r="P145" s="98" t="n"/>
      <c r="Q145" s="99" t="n"/>
      <c r="R145" s="99" t="n"/>
      <c r="S145" s="50" t="e">
        <v>#REF!</v>
      </c>
    </row>
    <row r="146" ht="30" customHeight="1">
      <c r="A146" s="55" t="inlineStr">
        <is>
          <t>CP144</t>
        </is>
      </c>
      <c r="B146" s="55" t="inlineStr">
        <is>
          <t>CERRADA</t>
        </is>
      </c>
      <c r="C146" s="56" t="n"/>
      <c r="E146" s="58" t="n">
        <v>45457</v>
      </c>
      <c r="F146" s="57" t="n">
        <v>1377</v>
      </c>
      <c r="G146" s="55" t="inlineStr">
        <is>
          <t>REP-ET - 1377. 00. OFICINAS ADIUM_TECNOMADERA_ ECONORDIK_URU</t>
        </is>
      </c>
      <c r="H146" s="55" t="inlineStr">
        <is>
          <t>TECNOMADERA</t>
        </is>
      </c>
      <c r="I146" s="55" t="inlineStr">
        <is>
          <t>Didac</t>
        </is>
      </c>
      <c r="J146" s="55" t="inlineStr">
        <is>
          <t>Luis</t>
        </is>
      </c>
      <c r="K146" s="55" t="inlineStr">
        <is>
          <t>Error técnico</t>
        </is>
      </c>
      <c r="L146" s="55" t="e">
        <v>#REF!</v>
      </c>
      <c r="M146" s="59" t="inlineStr">
        <is>
          <t>reposicion al cliente</t>
        </is>
      </c>
      <c r="N146" s="55" t="inlineStr">
        <is>
          <t>Avisar si hay cambios en dxf. Revisar pedidos latam antes de enviar</t>
        </is>
      </c>
      <c r="O146" s="46" t="inlineStr">
        <is>
          <t>ERROR EN EL DXF. SE CAMBIO UNA VEZ EL EPDIDO ESTABA FABRICADO Y NO SE AVISÓ</t>
        </is>
      </c>
      <c r="P146" s="101" t="n"/>
      <c r="Q146" s="102" t="n"/>
      <c r="R146" s="102" t="n"/>
      <c r="S146" s="55" t="e">
        <v>#REF!</v>
      </c>
    </row>
    <row r="147" ht="30" customHeight="1">
      <c r="A147" s="50" t="inlineStr">
        <is>
          <t>CP145</t>
        </is>
      </c>
      <c r="B147" s="50" t="inlineStr">
        <is>
          <t>CERRADA</t>
        </is>
      </c>
      <c r="C147" s="51" t="n"/>
      <c r="D147" s="52" t="n"/>
      <c r="E147" s="53" t="n">
        <v>45460</v>
      </c>
      <c r="F147" s="52" t="n">
        <v>3308</v>
      </c>
      <c r="G147" s="50" t="inlineStr">
        <is>
          <t>REP-ERT 3308. 00. SERTEBRA CBRE BROSETA MAD</t>
        </is>
      </c>
      <c r="H147" s="50" t="n"/>
      <c r="I147" s="50" t="inlineStr">
        <is>
          <t>Jorge Rubio</t>
        </is>
      </c>
      <c r="J147" s="50" t="inlineStr">
        <is>
          <t>Diego</t>
        </is>
      </c>
      <c r="K147" s="50" t="inlineStr">
        <is>
          <t>Error técnico</t>
        </is>
      </c>
      <c r="L147" s="50" t="e">
        <v>#REF!</v>
      </c>
      <c r="M147" s="54" t="inlineStr">
        <is>
          <t>Reposicion al cliente</t>
        </is>
      </c>
      <c r="N147" s="50" t="inlineStr">
        <is>
          <t>Más atención a la hora de cambios de referencias antiguas</t>
        </is>
      </c>
      <c r="O147" s="47" t="inlineStr">
        <is>
          <t>3 ECOwall a reponer, + 3 equivocados Pidieron referencias antiguas de V-Cut y me confundí al pasarlos a las nuevas</t>
        </is>
      </c>
      <c r="P147" s="98" t="n"/>
      <c r="Q147" s="99" t="n"/>
      <c r="R147" s="99" t="n"/>
      <c r="S147" s="50" t="e">
        <v>#REF!</v>
      </c>
    </row>
    <row r="148">
      <c r="A148" s="55" t="inlineStr">
        <is>
          <t>CP146</t>
        </is>
      </c>
      <c r="B148" s="55" t="inlineStr">
        <is>
          <t>CERRADA</t>
        </is>
      </c>
      <c r="C148" s="56" t="n"/>
      <c r="E148" s="58" t="n">
        <v>45463</v>
      </c>
      <c r="F148" s="57" t="n">
        <v>1006</v>
      </c>
      <c r="G148" s="55" t="inlineStr">
        <is>
          <t>REP-IT 1006. 00. TEOPSA OF. CASER FASE 1 MAD</t>
        </is>
      </c>
      <c r="H148" s="55" t="inlineStr">
        <is>
          <t>TEOPSA</t>
        </is>
      </c>
      <c r="I148" s="55" t="inlineStr">
        <is>
          <t>Jorge Rubio</t>
        </is>
      </c>
      <c r="J148" s="55" t="inlineStr">
        <is>
          <t>Diego</t>
        </is>
      </c>
      <c r="K148" s="55" t="inlineStr">
        <is>
          <t>Transporte</t>
        </is>
      </c>
      <c r="L148" s="55" t="e">
        <v>#REF!</v>
      </c>
      <c r="M148" s="59" t="inlineStr">
        <is>
          <t>Reposicion al cliente</t>
        </is>
      </c>
      <c r="O148" s="46" t="inlineStr">
        <is>
          <t>6 paneles golpeados por transporte</t>
        </is>
      </c>
      <c r="P148" s="101" t="n"/>
      <c r="Q148" s="102" t="n"/>
      <c r="R148" s="102" t="n"/>
      <c r="S148" s="55" t="e">
        <v>#REF!</v>
      </c>
    </row>
    <row r="149" ht="30" customHeight="1">
      <c r="A149" s="50" t="inlineStr">
        <is>
          <t>CP147</t>
        </is>
      </c>
      <c r="B149" s="50" t="inlineStr">
        <is>
          <t>CERRADA</t>
        </is>
      </c>
      <c r="C149" s="51" t="n"/>
      <c r="D149" s="52" t="n"/>
      <c r="E149" s="53" t="n">
        <v>45464</v>
      </c>
      <c r="F149" s="52" t="n">
        <v>1977</v>
      </c>
      <c r="G149" s="50" t="inlineStr">
        <is>
          <t>REP-ERT 1977. 00. BZ SISTEMAS REFORMA HALL Y SALA REUNIONES PV</t>
        </is>
      </c>
      <c r="H149" s="50" t="inlineStr">
        <is>
          <t>BZ SISTEMAS</t>
        </is>
      </c>
      <c r="I149" s="50" t="inlineStr">
        <is>
          <t>Jon Rioboo</t>
        </is>
      </c>
      <c r="J149" s="50" t="inlineStr">
        <is>
          <t>Mónica</t>
        </is>
      </c>
      <c r="K149" s="50" t="inlineStr">
        <is>
          <t>Error técnico</t>
        </is>
      </c>
      <c r="L149" s="50" t="e">
        <v>#REF!</v>
      </c>
      <c r="M149" s="54" t="inlineStr">
        <is>
          <t>reposicion al cliente</t>
        </is>
      </c>
      <c r="N149" s="50" t="inlineStr">
        <is>
          <t>Adjuntar DXF en todos los pedidos</t>
        </is>
      </c>
      <c r="O149" s="47" t="inlineStr">
        <is>
          <t>16 UDS ECOCLOUD D1170 mm ECO-138</t>
        </is>
      </c>
      <c r="P149" s="98" t="n"/>
      <c r="Q149" s="99" t="n"/>
      <c r="R149" s="99" t="n"/>
      <c r="S149" s="50" t="e">
        <v>#REF!</v>
      </c>
    </row>
    <row r="150" ht="30" customHeight="1">
      <c r="A150" s="55" t="inlineStr">
        <is>
          <t>CP148</t>
        </is>
      </c>
      <c r="B150" s="55" t="inlineStr">
        <is>
          <t>CERRADA</t>
        </is>
      </c>
      <c r="C150" s="56" t="n"/>
      <c r="E150" s="58" t="n">
        <v>45467</v>
      </c>
      <c r="F150" s="57" t="n">
        <v>3548</v>
      </c>
      <c r="G150" s="55" t="inlineStr">
        <is>
          <t>REP-IT. 3548. 02. VISUAL PROJECTS ECONORDIK AMPLIACIÓN 236 NO IGN</t>
        </is>
      </c>
      <c r="H150" s="55" t="inlineStr">
        <is>
          <t>VISUAL PROJECTS</t>
        </is>
      </c>
      <c r="I150" s="55" t="inlineStr">
        <is>
          <t>Covadonga</t>
        </is>
      </c>
      <c r="J150" s="55" t="inlineStr">
        <is>
          <t>Sandra</t>
        </is>
      </c>
      <c r="K150" s="55" t="inlineStr">
        <is>
          <t>Transporte</t>
        </is>
      </c>
      <c r="L150" s="55" t="e">
        <v>#REF!</v>
      </c>
      <c r="M150" s="59" t="inlineStr">
        <is>
          <t>Reposición al cliente</t>
        </is>
      </c>
      <c r="O150" s="46" t="inlineStr">
        <is>
          <t>4 ud ECOnordik roble/ECO-125 no ign</t>
        </is>
      </c>
      <c r="P150" s="101" t="n"/>
      <c r="Q150" s="102" t="n"/>
      <c r="R150" s="102" t="n"/>
      <c r="S150" s="55" t="e">
        <v>#REF!</v>
      </c>
    </row>
    <row r="151" ht="30" customHeight="1">
      <c r="A151" s="50" t="inlineStr">
        <is>
          <t>CP149</t>
        </is>
      </c>
      <c r="B151" s="50" t="inlineStr">
        <is>
          <t>CERRADA</t>
        </is>
      </c>
      <c r="C151" s="51" t="n"/>
      <c r="D151" s="52" t="n"/>
      <c r="E151" s="53" t="n">
        <v>45468</v>
      </c>
      <c r="F151" s="52" t="n">
        <v>3509</v>
      </c>
      <c r="G151" s="50" t="inlineStr">
        <is>
          <t>REP-IT. 3509. 00. OFILLORCA BASIC FOAM REGULAR BAL</t>
        </is>
      </c>
      <c r="H151" s="50" t="inlineStr">
        <is>
          <t>OFILLORCA</t>
        </is>
      </c>
      <c r="I151" s="50" t="inlineStr">
        <is>
          <t>Jose Luis Chico</t>
        </is>
      </c>
      <c r="J151" s="50" t="inlineStr">
        <is>
          <t>Luis</t>
        </is>
      </c>
      <c r="K151" s="50" t="inlineStr">
        <is>
          <t>Transporte</t>
        </is>
      </c>
      <c r="L151" s="50" t="e">
        <v>#REF!</v>
      </c>
      <c r="M151" s="54" t="inlineStr">
        <is>
          <t>Reposicion al cliente</t>
        </is>
      </c>
      <c r="N151" s="50" t="n"/>
      <c r="O151" s="47" t="inlineStr">
        <is>
          <t>6ud Basic regular 580x580x40mm</t>
        </is>
      </c>
      <c r="P151" s="98" t="n"/>
      <c r="Q151" s="99" t="n"/>
      <c r="R151" s="99" t="n"/>
      <c r="S151" s="50" t="e">
        <v>#REF!</v>
      </c>
    </row>
    <row r="152" ht="30" customHeight="1">
      <c r="A152" s="55" t="inlineStr">
        <is>
          <t>CP150</t>
        </is>
      </c>
      <c r="B152" s="55" t="inlineStr">
        <is>
          <t>CERRADA</t>
        </is>
      </c>
      <c r="C152" s="56" t="n"/>
      <c r="E152" s="58" t="n">
        <v>45469</v>
      </c>
      <c r="F152" s="57" t="n">
        <v>2755</v>
      </c>
      <c r="G152" s="55" t="inlineStr">
        <is>
          <t>REP-IT. 2755. 00. AMBIENTES MAIA AYTO DONOSTIA PV</t>
        </is>
      </c>
      <c r="H152" s="55" t="inlineStr">
        <is>
          <t>AMBIENTES MAIA</t>
        </is>
      </c>
      <c r="I152" s="55" t="inlineStr">
        <is>
          <t>Jon Rioboo</t>
        </is>
      </c>
      <c r="J152" s="55" t="inlineStr">
        <is>
          <t>Mónica</t>
        </is>
      </c>
      <c r="K152" s="55" t="inlineStr">
        <is>
          <t>Transporte</t>
        </is>
      </c>
      <c r="L152" s="55" t="e">
        <v>#REF!</v>
      </c>
      <c r="M152" s="59" t="inlineStr">
        <is>
          <t>Reposición al cliente</t>
        </is>
      </c>
      <c r="N152" s="55" t="inlineStr">
        <is>
          <t>Poner nervio trasero a todos los bultos de 1-4 paneles</t>
        </is>
      </c>
      <c r="O152" s="46" t="inlineStr">
        <is>
          <t xml:space="preserve">1 ECOwall v-cut dañado, está como arrugado de coger desde el centro en el transporte. </t>
        </is>
      </c>
      <c r="P152" s="101" t="n"/>
      <c r="Q152" s="102" t="n"/>
      <c r="R152" s="102" t="n"/>
      <c r="S152" s="55" t="e">
        <v>#REF!</v>
      </c>
    </row>
    <row r="153" ht="60" customHeight="1">
      <c r="A153" s="50" t="inlineStr">
        <is>
          <t>CP151</t>
        </is>
      </c>
      <c r="B153" s="50" t="inlineStr">
        <is>
          <t>CERRADA</t>
        </is>
      </c>
      <c r="C153" s="51" t="n"/>
      <c r="D153" s="52" t="n"/>
      <c r="E153" s="53" t="n">
        <v>45474</v>
      </c>
      <c r="F153" s="52" t="n">
        <v>3954</v>
      </c>
      <c r="G153" s="50" t="inlineStr">
        <is>
          <t>REP-FP. 3954. 00. SIC ECOCLOUD CAT</t>
        </is>
      </c>
      <c r="H153" s="50" t="n"/>
      <c r="I153" s="50" t="inlineStr">
        <is>
          <t>Manel</t>
        </is>
      </c>
      <c r="J153" s="50" t="inlineStr">
        <is>
          <t>Angela</t>
        </is>
      </c>
      <c r="K153" s="50" t="inlineStr">
        <is>
          <t>Falta Paneles</t>
        </is>
      </c>
      <c r="L153" s="50" t="e">
        <v>#REF!</v>
      </c>
      <c r="M153" s="54" t="inlineStr">
        <is>
          <t>Abono al cliente</t>
        </is>
      </c>
      <c r="N153" s="50" t="inlineStr">
        <is>
          <t>Foto antes de cerrar embaleje donde se pueda ver número de paneles, ya que es muy complicado de asegurarse con la foto del bulto la veracidad de la incidencia.</t>
        </is>
      </c>
      <c r="O153" s="47" t="inlineStr">
        <is>
          <t xml:space="preserve">2 Ud CLOUD  1000X1000 </t>
        </is>
      </c>
      <c r="P153" s="98" t="n"/>
      <c r="Q153" s="99" t="n"/>
      <c r="R153" s="99" t="n"/>
      <c r="S153" s="50" t="e">
        <v>#REF!</v>
      </c>
    </row>
    <row r="154" ht="45" customHeight="1">
      <c r="A154" s="55" t="inlineStr">
        <is>
          <t>CP152</t>
        </is>
      </c>
      <c r="B154" s="55" t="inlineStr">
        <is>
          <t>CERRADA</t>
        </is>
      </c>
      <c r="C154" s="56" t="n"/>
      <c r="E154" s="58" t="n">
        <v>45474</v>
      </c>
      <c r="F154" s="57" t="n">
        <v>2375</v>
      </c>
      <c r="G154" s="55" t="inlineStr">
        <is>
          <t>REP-IT. 2375. 00. PMC GRUP SEPARADORES 24 MM/ A1641</t>
        </is>
      </c>
      <c r="I154" s="55" t="inlineStr">
        <is>
          <t>Manel</t>
        </is>
      </c>
      <c r="J154" s="55" t="inlineStr">
        <is>
          <t>Angela</t>
        </is>
      </c>
      <c r="K154" s="55" t="inlineStr">
        <is>
          <t>Transporte</t>
        </is>
      </c>
      <c r="L154" s="55" t="e">
        <v>#REF!</v>
      </c>
      <c r="M154" s="59" t="inlineStr">
        <is>
          <t>Reposición al cliente</t>
        </is>
      </c>
      <c r="N154" s="55" t="inlineStr">
        <is>
          <t>Hay foto de paquete que han pisado en transporte y han manchado, EL PROBLEMA es que el cliente firma el albarán y el bulto está roto.</t>
        </is>
      </c>
      <c r="O154" s="46" t="inlineStr">
        <is>
          <t>1 ECOworking personalizado 1580x355x24 mm color ECO-104 BLANCO</t>
        </is>
      </c>
      <c r="P154" s="101" t="n"/>
      <c r="Q154" s="102" t="n"/>
      <c r="R154" s="102" t="n"/>
      <c r="S154" s="55" t="e">
        <v>#REF!</v>
      </c>
    </row>
    <row r="155" ht="30" customHeight="1">
      <c r="A155" s="50" t="inlineStr">
        <is>
          <t>CP153</t>
        </is>
      </c>
      <c r="B155" s="50" t="inlineStr">
        <is>
          <t>CERRADA</t>
        </is>
      </c>
      <c r="C155" s="51" t="n"/>
      <c r="D155" s="52" t="n"/>
      <c r="E155" s="53" t="n">
        <v>45474</v>
      </c>
      <c r="F155" s="52" t="n">
        <v>3429</v>
      </c>
      <c r="G155" s="50" t="inlineStr">
        <is>
          <t>REP-ET. 3429. 00. OFIVAL HASBRO AMPLIACION INCIDENCIA CV</t>
        </is>
      </c>
      <c r="H155" s="50" t="n"/>
      <c r="I155" s="50" t="inlineStr">
        <is>
          <t>Javier Hernández</t>
        </is>
      </c>
      <c r="J155" s="50" t="inlineStr">
        <is>
          <t>Luis</t>
        </is>
      </c>
      <c r="K155" s="50" t="inlineStr">
        <is>
          <t>Error técnico</t>
        </is>
      </c>
      <c r="L155" s="50" t="e">
        <v>#REF!</v>
      </c>
      <c r="M155" s="54" t="inlineStr">
        <is>
          <t>Reposicion al cliente</t>
        </is>
      </c>
      <c r="N155" s="50" t="inlineStr">
        <is>
          <t>Comprobar que las dimensiones de los despieces son correctas con lo que solicita el cliente</t>
        </is>
      </c>
      <c r="O155" s="47" t="inlineStr">
        <is>
          <t>1ECObasic pintado dimensión personalizada. Nos pidieron unas medidas en concreto para aprovechar el sobrante y no se le envió de esas medidas</t>
        </is>
      </c>
      <c r="P155" s="98" t="n"/>
      <c r="Q155" s="99" t="n"/>
      <c r="R155" s="99" t="n"/>
      <c r="S155" s="50" t="e">
        <v>#REF!</v>
      </c>
    </row>
    <row r="156" ht="30" customHeight="1">
      <c r="A156" s="55" t="inlineStr">
        <is>
          <t>CP154</t>
        </is>
      </c>
      <c r="B156" s="55" t="inlineStr">
        <is>
          <t>CERRADA</t>
        </is>
      </c>
      <c r="C156" s="56" t="n"/>
      <c r="E156" s="58" t="n">
        <v>45476</v>
      </c>
      <c r="F156" s="57" t="n">
        <v>3338</v>
      </c>
      <c r="G156" s="55" t="inlineStr">
        <is>
          <t>REP-FP. 3338. 00. INMOBILIARIAS Y FINCAS COSTA DEL SOL V-CUT AND</t>
        </is>
      </c>
      <c r="I156" s="55" t="inlineStr">
        <is>
          <t>Jorge Blanco</t>
        </is>
      </c>
      <c r="J156" s="55" t="inlineStr">
        <is>
          <t>Luis</t>
        </is>
      </c>
      <c r="K156" s="55" t="inlineStr">
        <is>
          <t>Falta Paneles</t>
        </is>
      </c>
      <c r="L156" s="55" t="e">
        <v>#REF!</v>
      </c>
      <c r="M156" s="59" t="inlineStr">
        <is>
          <t>Reposicion al cliente</t>
        </is>
      </c>
      <c r="N156" s="55" t="inlineStr">
        <is>
          <t>Revisar bien las ud que salen de fábrica. Revisar ellos también el pedido cuando les llegue</t>
        </is>
      </c>
      <c r="O156" s="46" t="inlineStr">
        <is>
          <t>Les ha faltado 1 panel ECOwall v-cut</t>
        </is>
      </c>
      <c r="P156" s="101" t="n"/>
      <c r="Q156" s="102" t="n"/>
      <c r="R156" s="102" t="n"/>
      <c r="S156" s="55" t="e">
        <v>#REF!</v>
      </c>
    </row>
    <row r="157" ht="45" customHeight="1">
      <c r="A157" s="50" t="inlineStr">
        <is>
          <t>CP155</t>
        </is>
      </c>
      <c r="B157" s="50" t="inlineStr">
        <is>
          <t>CERRADA</t>
        </is>
      </c>
      <c r="C157" s="51" t="n"/>
      <c r="D157" s="52" t="n"/>
      <c r="E157" s="53" t="n">
        <v>45478</v>
      </c>
      <c r="F157" s="52" t="n">
        <v>3474</v>
      </c>
      <c r="G157" s="50" t="inlineStr">
        <is>
          <t>REP-DC. 3474. 00. ADEYAKA ECOWALL IPLAN CAT</t>
        </is>
      </c>
      <c r="H157" s="50" t="inlineStr">
        <is>
          <t>ADEYAKA</t>
        </is>
      </c>
      <c r="I157" s="50" t="inlineStr">
        <is>
          <t>Manel</t>
        </is>
      </c>
      <c r="J157" s="50" t="inlineStr">
        <is>
          <t>Angela</t>
        </is>
      </c>
      <c r="K157" s="50" t="inlineStr">
        <is>
          <t>Defecto por cliente</t>
        </is>
      </c>
      <c r="L157" s="50" t="e">
        <v>#REF!</v>
      </c>
      <c r="M157" s="54" t="inlineStr">
        <is>
          <t>reposicion al cliente</t>
        </is>
      </c>
      <c r="N157" s="50" t="inlineStr">
        <is>
          <t>Reposición de 1 panel. Cliente paga gastos de envío</t>
        </is>
      </c>
      <c r="O157" s="47" t="inlineStr">
        <is>
          <t>es un panel dañado en la esquina. El cliente avisa 3 semanas despues. Indica que es de transporte pero tambien puede ser de instalación. Se le solicitan fotos de embalaje y se le indica que las incidencias por transporte tienen que avisarse el día de la recepción de mercancia</t>
        </is>
      </c>
      <c r="P157" s="98" t="n">
        <v>242</v>
      </c>
      <c r="Q157" s="99" t="n"/>
      <c r="R157" s="99" t="n"/>
      <c r="S157" s="50" t="e">
        <v>#REF!</v>
      </c>
    </row>
    <row r="158" ht="30" customHeight="1">
      <c r="A158" s="55" t="inlineStr">
        <is>
          <t>CP156</t>
        </is>
      </c>
      <c r="B158" s="55" t="inlineStr">
        <is>
          <t>CERRADA</t>
        </is>
      </c>
      <c r="C158" s="56" t="n"/>
      <c r="E158" s="58" t="n">
        <v>45481</v>
      </c>
      <c r="F158" s="57" t="n">
        <v>3073</v>
      </c>
      <c r="G158" s="55" t="inlineStr">
        <is>
          <t>REP-CO. 3073. 00. C5 COVERINGS RAW PANEL BA</t>
        </is>
      </c>
      <c r="H158" s="55" t="inlineStr">
        <is>
          <t>C5 COVERING</t>
        </is>
      </c>
      <c r="I158" s="55" t="inlineStr">
        <is>
          <t>Jose Luis Chico</t>
        </is>
      </c>
      <c r="J158" s="55" t="inlineStr">
        <is>
          <t>Luis</t>
        </is>
      </c>
      <c r="K158" s="55" t="inlineStr">
        <is>
          <t>Color - Lote - Diferencia</t>
        </is>
      </c>
      <c r="L158" s="55" t="e">
        <v>#REF!</v>
      </c>
      <c r="M158" s="59" t="inlineStr">
        <is>
          <t>reposicion al cliene</t>
        </is>
      </c>
      <c r="N158" s="55" t="inlineStr">
        <is>
          <t>se envian los paneles necesarios para igualar el tono</t>
        </is>
      </c>
      <c r="O158" s="46" t="inlineStr">
        <is>
          <t>cambio de tono en los panles enviados al cliente</t>
        </is>
      </c>
      <c r="P158" s="101" t="n"/>
      <c r="Q158" s="102" t="n"/>
      <c r="R158" s="102" t="n"/>
      <c r="S158" s="55" t="e">
        <v>#REF!</v>
      </c>
    </row>
    <row r="159" ht="30" customHeight="1">
      <c r="A159" s="50" t="inlineStr">
        <is>
          <t>CP157</t>
        </is>
      </c>
      <c r="B159" s="50" t="inlineStr">
        <is>
          <t>CERRADA</t>
        </is>
      </c>
      <c r="C159" s="51" t="n"/>
      <c r="D159" s="52" t="n"/>
      <c r="E159" s="53" t="n">
        <v>45481</v>
      </c>
      <c r="F159" s="52" t="n">
        <v>3344</v>
      </c>
      <c r="G159" s="50" t="inlineStr">
        <is>
          <t>REP-FP 3344. 01. CONFORTCUSTIC BASIC 580 NA</t>
        </is>
      </c>
      <c r="H159" s="50" t="inlineStr">
        <is>
          <t>CONFORTCUSTIC</t>
        </is>
      </c>
      <c r="I159" s="50" t="inlineStr">
        <is>
          <t>Jon Rioboo</t>
        </is>
      </c>
      <c r="J159" s="50" t="inlineStr">
        <is>
          <t>Mónica</t>
        </is>
      </c>
      <c r="K159" s="50" t="inlineStr">
        <is>
          <t>Falta Paneles</t>
        </is>
      </c>
      <c r="L159" s="50" t="e">
        <v>#REF!</v>
      </c>
      <c r="M159" s="54" t="inlineStr">
        <is>
          <t>reposicion al cliente</t>
        </is>
      </c>
      <c r="N159" s="50" t="inlineStr">
        <is>
          <t>Revisar la hoja de Trello y comprobar que los paneles estén en buen estado.</t>
        </is>
      </c>
      <c r="O159" s="47" t="inlineStr">
        <is>
          <t>Eran muchos paneles blancos y pocos en color, y estos últimos no se enviaron. Además, algunos de los blancos estaban marcados.</t>
        </is>
      </c>
      <c r="P159" s="98" t="n"/>
      <c r="Q159" s="99" t="n"/>
      <c r="R159" s="99" t="n"/>
      <c r="S159" s="50" t="e">
        <v>#REF!</v>
      </c>
    </row>
    <row r="160" ht="30" customHeight="1">
      <c r="A160" s="55" t="inlineStr">
        <is>
          <t>CP158</t>
        </is>
      </c>
      <c r="B160" s="55" t="inlineStr">
        <is>
          <t>CERRADA</t>
        </is>
      </c>
      <c r="C160" s="56" t="n"/>
      <c r="E160" s="58" t="n">
        <v>45482</v>
      </c>
      <c r="F160" s="57" t="n">
        <v>2375</v>
      </c>
      <c r="G160" s="55" t="inlineStr">
        <is>
          <t>REP-IT 2375. 02. PMC GRUP SEPARADORES 24 MM</t>
        </is>
      </c>
      <c r="H160" s="55" t="inlineStr">
        <is>
          <t>PMC GRUP</t>
        </is>
      </c>
      <c r="I160" s="55" t="inlineStr">
        <is>
          <t>manel</t>
        </is>
      </c>
      <c r="J160" s="55" t="inlineStr">
        <is>
          <t>Angela</t>
        </is>
      </c>
      <c r="K160" s="55" t="inlineStr">
        <is>
          <t>Transporte</t>
        </is>
      </c>
      <c r="L160" s="55" t="e">
        <v>#REF!</v>
      </c>
      <c r="M160" s="59" t="inlineStr">
        <is>
          <t>Reposición al cliente</t>
        </is>
      </c>
      <c r="N160" s="55" t="inlineStr">
        <is>
          <t>proteger colores claros para evitar roces con caja de cartón</t>
        </is>
      </c>
      <c r="O160" s="46" t="inlineStr">
        <is>
          <t>Llegaron todas las placas blancas con machas marrones en los cantos del cartón. Limpiaron con aire a presión pero hubo dos que no se pudo</t>
        </is>
      </c>
      <c r="P160" s="101" t="n">
        <v>181.5</v>
      </c>
      <c r="Q160" s="102" t="n"/>
      <c r="R160" s="102" t="n"/>
      <c r="S160" s="55" t="e">
        <v>#REF!</v>
      </c>
    </row>
    <row r="161" ht="30" customHeight="1">
      <c r="A161" s="50" t="inlineStr">
        <is>
          <t>CP159</t>
        </is>
      </c>
      <c r="B161" s="50" t="inlineStr">
        <is>
          <t>CERRADA</t>
        </is>
      </c>
      <c r="C161" s="51" t="n"/>
      <c r="D161" s="52" t="n"/>
      <c r="E161" s="53" t="n">
        <v>45488</v>
      </c>
      <c r="F161" s="52" t="n">
        <v>5585</v>
      </c>
      <c r="G161" s="50" t="inlineStr">
        <is>
          <t>REP-PRO. 5585. 00. ORSAL SWEET HOME VAL</t>
        </is>
      </c>
      <c r="H161" s="50" t="inlineStr">
        <is>
          <t>ORSAL</t>
        </is>
      </c>
      <c r="I161" s="50" t="inlineStr">
        <is>
          <t>Javier Hernández</t>
        </is>
      </c>
      <c r="J161" s="50" t="inlineStr">
        <is>
          <t>Miguel Angel</t>
        </is>
      </c>
      <c r="K161" s="50" t="inlineStr">
        <is>
          <t>Proveedor</t>
        </is>
      </c>
      <c r="L161" s="50" t="e">
        <v>#REF!</v>
      </c>
      <c r="M161" s="54" t="inlineStr">
        <is>
          <t>Reposición al cliente</t>
        </is>
      </c>
      <c r="N161" s="50" t="inlineStr">
        <is>
          <t>Reponer y recoger la mercancía sweet</t>
        </is>
      </c>
      <c r="O161" s="47" t="inlineStr">
        <is>
          <t>La luz LED no se enciende, el ventilador no va correctamente. Se visita cliente por Javier y Marc y se verifica que es así. Reclamar al proveedor</t>
        </is>
      </c>
      <c r="P161" s="98" t="n"/>
      <c r="Q161" s="99" t="n"/>
      <c r="R161" s="99" t="n"/>
      <c r="S161" s="50" t="e">
        <v>#REF!</v>
      </c>
    </row>
    <row r="162" ht="30" customHeight="1">
      <c r="A162" s="55" t="inlineStr">
        <is>
          <t>CP160</t>
        </is>
      </c>
      <c r="B162" s="55" t="inlineStr">
        <is>
          <t>CERRADA</t>
        </is>
      </c>
      <c r="C162" s="56" t="n"/>
      <c r="E162" s="58" t="n">
        <v>45490</v>
      </c>
      <c r="F162" s="57" t="n">
        <v>4617</v>
      </c>
      <c r="G162" s="55" t="inlineStr">
        <is>
          <t>REP-IT 4617. 00. CHATEAU THIERRY ESSOMES_PORYECTO CANE_PHM_FR</t>
        </is>
      </c>
      <c r="H162" s="55" t="inlineStr">
        <is>
          <t>CHATEAU</t>
        </is>
      </c>
      <c r="I162" s="55" t="inlineStr">
        <is>
          <t>Virginia</t>
        </is>
      </c>
      <c r="J162" s="55" t="inlineStr">
        <is>
          <t>Rashli</t>
        </is>
      </c>
      <c r="K162" s="55" t="inlineStr">
        <is>
          <t>Transporte</t>
        </is>
      </c>
      <c r="L162" s="55" t="e">
        <v>#REF!</v>
      </c>
      <c r="M162" s="59" t="inlineStr">
        <is>
          <t>Reposición al cliente</t>
        </is>
      </c>
      <c r="N162" s="55" t="inlineStr">
        <is>
          <t>Proteger mejor los paquetes</t>
        </is>
      </c>
      <c r="O162" s="46" t="inlineStr">
        <is>
          <t>los paquetes se maltratan mucho por el transporte por lo que las esquinas llegan dobladas y sentidas</t>
        </is>
      </c>
      <c r="P162" s="101" t="n"/>
      <c r="Q162" s="102" t="n"/>
      <c r="R162" s="102" t="n"/>
      <c r="S162" s="55" t="e">
        <v>#REF!</v>
      </c>
    </row>
    <row r="163" ht="30" customHeight="1">
      <c r="A163" s="50" t="inlineStr">
        <is>
          <t>CP161</t>
        </is>
      </c>
      <c r="B163" s="50" t="inlineStr">
        <is>
          <t>CERRADA</t>
        </is>
      </c>
      <c r="C163" s="51" t="n"/>
      <c r="D163" s="52" t="n"/>
      <c r="E163" s="53" t="n">
        <v>45490</v>
      </c>
      <c r="F163" s="52" t="n">
        <v>3282</v>
      </c>
      <c r="G163" s="50" t="inlineStr">
        <is>
          <t>REP-DC 3282. 00. RCL ECOBASIC P.2024.01.91-1 CAT</t>
        </is>
      </c>
      <c r="H163" s="50" t="inlineStr">
        <is>
          <t>RCL</t>
        </is>
      </c>
      <c r="I163" s="50" t="inlineStr">
        <is>
          <t>Manel</t>
        </is>
      </c>
      <c r="J163" s="50" t="inlineStr">
        <is>
          <t>Angela</t>
        </is>
      </c>
      <c r="K163" s="50" t="inlineStr">
        <is>
          <t>Defecto por cliente</t>
        </is>
      </c>
      <c r="L163" s="50" t="e">
        <v>#REF!</v>
      </c>
      <c r="M163" s="54" t="inlineStr">
        <is>
          <t>Reposición al cliente</t>
        </is>
      </c>
      <c r="N163" s="50" t="inlineStr">
        <is>
          <t>Reposición de 1 panel. Cliente paga gastos de envío</t>
        </is>
      </c>
      <c r="O163" s="47" t="inlineStr">
        <is>
          <t>2 Ud panel de 24 mm pintados que están arrugados.  Están instalados porque tenían inauguración</t>
        </is>
      </c>
      <c r="P163" s="98" t="inlineStr">
        <is>
          <t>643,4 €</t>
        </is>
      </c>
      <c r="Q163" s="99" t="n"/>
      <c r="R163" s="99" t="n"/>
      <c r="S163" s="50" t="e">
        <v>#REF!</v>
      </c>
    </row>
    <row r="164" ht="30" customHeight="1">
      <c r="A164" s="55" t="inlineStr">
        <is>
          <t>CP162</t>
        </is>
      </c>
      <c r="B164" s="55" t="inlineStr">
        <is>
          <t>CERRADA</t>
        </is>
      </c>
      <c r="C164" s="56" t="n"/>
      <c r="E164" s="58" t="n">
        <v>45490</v>
      </c>
      <c r="F164" s="57" t="n">
        <v>3611</v>
      </c>
      <c r="G164" s="55" t="inlineStr">
        <is>
          <t>REP-ERF 3611. 00. IDATERM OBRA ALCALA ECOWALL MAD</t>
        </is>
      </c>
      <c r="H164" s="55" t="inlineStr">
        <is>
          <t>IDATERM</t>
        </is>
      </c>
      <c r="I164" s="55" t="inlineStr">
        <is>
          <t>Jorge Rubio</t>
        </is>
      </c>
      <c r="J164" s="55" t="inlineStr">
        <is>
          <t>Diego</t>
        </is>
      </c>
      <c r="K164" s="55" t="inlineStr">
        <is>
          <t>Fabricación</t>
        </is>
      </c>
      <c r="L164" s="55" t="e">
        <v>#REF!</v>
      </c>
      <c r="M164" s="59" t="inlineStr">
        <is>
          <t>Reposición al cliente</t>
        </is>
      </c>
      <c r="N164" s="55" t="inlineStr">
        <is>
          <t>Reposición 2 paneles bisaledos, revisión de paneles antes de envio</t>
        </is>
      </c>
      <c r="O164" s="46" t="inlineStr">
        <is>
          <t>2 Ud paneles v-cut, se biselo el diseño pero no los cantos del panel, el cliente tenia instaladas otras 8 Unidades con cantos biselados por lo que se aprecia perfectamente la falta de bisel en estos</t>
        </is>
      </c>
      <c r="P164" s="101" t="n">
        <v>452</v>
      </c>
      <c r="Q164" s="102" t="n"/>
      <c r="R164" s="102" t="n"/>
      <c r="S164" s="55" t="e">
        <v>#REF!</v>
      </c>
    </row>
    <row r="165" ht="30" customHeight="1">
      <c r="A165" s="50" t="inlineStr">
        <is>
          <t>CP163</t>
        </is>
      </c>
      <c r="B165" s="50" t="inlineStr">
        <is>
          <t>CERRADA</t>
        </is>
      </c>
      <c r="C165" s="51" t="n"/>
      <c r="D165" s="52" t="n"/>
      <c r="E165" s="53" t="n">
        <v>45491</v>
      </c>
      <c r="F165" s="52" t="n">
        <v>2824</v>
      </c>
      <c r="G165" s="50" t="inlineStr">
        <is>
          <t>REP-CO 2824. 00. UBICCA OFICINAS UBICCA MAD</t>
        </is>
      </c>
      <c r="H165" s="50" t="inlineStr">
        <is>
          <t>UBICCA</t>
        </is>
      </c>
      <c r="I165" s="50" t="inlineStr">
        <is>
          <t>Jorge Rubio</t>
        </is>
      </c>
      <c r="J165" s="50" t="inlineStr">
        <is>
          <t>Diego</t>
        </is>
      </c>
      <c r="K165" s="50" t="inlineStr">
        <is>
          <t>Color - Lote - Diferencia</t>
        </is>
      </c>
      <c r="L165" s="50" t="e">
        <v>#REF!</v>
      </c>
      <c r="M165" s="54" t="inlineStr">
        <is>
          <t>Reposición al cliente</t>
        </is>
      </c>
      <c r="N165" s="50" t="inlineStr">
        <is>
          <t>Reposición de paneles destonificados</t>
        </is>
      </c>
      <c r="O165" s="47" t="inlineStr">
        <is>
          <t>2 de 6 paneles ECO-139 verde oscuro destonificados del resto</t>
        </is>
      </c>
      <c r="P165" s="98" t="n">
        <v>384</v>
      </c>
      <c r="Q165" s="99" t="n"/>
      <c r="R165" s="99" t="n"/>
      <c r="S165" s="50" t="e">
        <v>#REF!</v>
      </c>
    </row>
    <row r="166" ht="45" customHeight="1">
      <c r="A166" s="55" t="inlineStr">
        <is>
          <t>CP164</t>
        </is>
      </c>
      <c r="B166" s="55" t="inlineStr">
        <is>
          <t>CERRADA</t>
        </is>
      </c>
      <c r="C166" s="56" t="n"/>
      <c r="E166" s="58" t="n">
        <v>45492</v>
      </c>
      <c r="F166" s="57" t="n">
        <v>1121</v>
      </c>
      <c r="G166" s="55" t="inlineStr">
        <is>
          <t>REP-ERT 1121. 00. AMPLIACION_FR_INSITU_PROJECT AIRBUS_ECOBASIC OP1</t>
        </is>
      </c>
      <c r="H166" s="55" t="inlineStr">
        <is>
          <t>INSITU</t>
        </is>
      </c>
      <c r="I166" s="55" t="inlineStr">
        <is>
          <t>Virginia</t>
        </is>
      </c>
      <c r="J166" s="55" t="inlineStr">
        <is>
          <t>Rashli</t>
        </is>
      </c>
      <c r="K166" s="55" t="inlineStr">
        <is>
          <t>Error técnico</t>
        </is>
      </c>
      <c r="L166" s="55" t="e">
        <v>#REF!</v>
      </c>
      <c r="M166" s="59" t="inlineStr">
        <is>
          <t>Reposición al cliente</t>
        </is>
      </c>
      <c r="N166" s="55" t="inlineStr">
        <is>
          <t>Mejorar la comunicación con el cliente</t>
        </is>
      </c>
      <c r="O166" s="46" t="inlineStr">
        <is>
          <t>Nos pedían 10 enganches + 10 roldanas y yo había entendido que querían 10 entre las dos (5+5). En el pedido se han cobrado 10+10 y se han enviado 5+5</t>
        </is>
      </c>
      <c r="P166" s="101" t="n">
        <v>0</v>
      </c>
      <c r="Q166" s="102" t="n"/>
      <c r="R166" s="102" t="n"/>
      <c r="S166" s="55" t="e">
        <v>#REF!</v>
      </c>
    </row>
    <row r="167" ht="30" customHeight="1">
      <c r="A167" s="50" t="inlineStr">
        <is>
          <t>CP165</t>
        </is>
      </c>
      <c r="B167" s="50" t="inlineStr">
        <is>
          <t>CERRADA</t>
        </is>
      </c>
      <c r="C167" s="51" t="n"/>
      <c r="D167" s="52" t="n"/>
      <c r="E167" s="53" t="n">
        <v>45492</v>
      </c>
      <c r="F167" s="52" t="n">
        <v>3065</v>
      </c>
      <c r="G167" s="50" t="inlineStr">
        <is>
          <t>REP-IT. 3056. 00. OP2 SALA JUZGADOS 15_VIENA_BLUE2</t>
        </is>
      </c>
      <c r="H167" s="50" t="inlineStr">
        <is>
          <t>OP2,</t>
        </is>
      </c>
      <c r="I167" s="50" t="inlineStr">
        <is>
          <t>Paloma</t>
        </is>
      </c>
      <c r="J167" s="50" t="inlineStr">
        <is>
          <t>Luis</t>
        </is>
      </c>
      <c r="K167" s="50" t="inlineStr">
        <is>
          <t>Transporte</t>
        </is>
      </c>
      <c r="L167" s="50" t="e">
        <v>#REF!</v>
      </c>
      <c r="M167" s="54" t="inlineStr">
        <is>
          <t>Reposicion al cliente</t>
        </is>
      </c>
      <c r="N167" s="50" t="inlineStr">
        <is>
          <t xml:space="preserve">Reposición. Reclamación a transporte. </t>
        </is>
      </c>
      <c r="O167" s="47" t="inlineStr">
        <is>
          <t>Han llegado los paneles sin el embalaje con el que salieron de aquí</t>
        </is>
      </c>
      <c r="P167" s="98" t="n"/>
      <c r="Q167" s="99" t="n"/>
      <c r="R167" s="99" t="n"/>
      <c r="S167" s="50" t="e">
        <v>#REF!</v>
      </c>
    </row>
    <row r="168" ht="45" customHeight="1">
      <c r="A168" s="55" t="inlineStr">
        <is>
          <t>CP166</t>
        </is>
      </c>
      <c r="B168" s="55" t="inlineStr">
        <is>
          <t>CERRADA</t>
        </is>
      </c>
      <c r="C168" s="56" t="n"/>
      <c r="E168" s="58" t="n">
        <v>45497</v>
      </c>
      <c r="F168" s="57" t="n">
        <v>3610</v>
      </c>
      <c r="G168" s="55" t="inlineStr">
        <is>
          <t>REP-FP. 3610. 00. OLE LIGHTING ECOBASIC PANEL 12MM CV</t>
        </is>
      </c>
      <c r="H168" s="55" t="inlineStr">
        <is>
          <t>OLE LIGHTING</t>
        </is>
      </c>
      <c r="I168" s="55" t="inlineStr">
        <is>
          <t>Sin comercial</t>
        </is>
      </c>
      <c r="J168" s="55" t="inlineStr">
        <is>
          <t>Miguel Angel</t>
        </is>
      </c>
      <c r="K168" s="55" t="inlineStr">
        <is>
          <t>Fabricación</t>
        </is>
      </c>
      <c r="L168" s="55" t="e">
        <v>#REF!</v>
      </c>
      <c r="M168" s="59" t="inlineStr">
        <is>
          <t>Reposicion al cliente</t>
        </is>
      </c>
      <c r="N168" s="55" t="inlineStr">
        <is>
          <t>Comprobar la primera pieza por parte de operario producción. Comprueba con muestrsa /prototipo y valida con resp. Producción o técnico.</t>
        </is>
      </c>
      <c r="O168" s="46" t="inlineStr">
        <is>
          <t>12 paneles + 10 ml corte Bisel mal configurado</t>
        </is>
      </c>
      <c r="P168" s="101" t="n"/>
      <c r="Q168" s="102" t="n"/>
      <c r="R168" s="102" t="n"/>
      <c r="S168" s="55" t="e">
        <v>#REF!</v>
      </c>
    </row>
    <row r="169" ht="30" customHeight="1">
      <c r="A169" s="50" t="inlineStr">
        <is>
          <t>CP167</t>
        </is>
      </c>
      <c r="B169" s="50" t="inlineStr">
        <is>
          <t>CERRADA</t>
        </is>
      </c>
      <c r="C169" s="51" t="n"/>
      <c r="D169" s="52" t="n"/>
      <c r="E169" s="53" t="n">
        <v>45498</v>
      </c>
      <c r="F169" s="52" t="n">
        <v>4285</v>
      </c>
      <c r="G169" s="50" t="inlineStr">
        <is>
          <t>REP-ERT. 4285. 00. COTS I CLARET REFORMA OFICINAS CAT</t>
        </is>
      </c>
      <c r="H169" s="50" t="inlineStr">
        <is>
          <t>COTS O CLARET</t>
        </is>
      </c>
      <c r="I169" s="50" t="inlineStr">
        <is>
          <t>Manel</t>
        </is>
      </c>
      <c r="J169" s="50" t="inlineStr">
        <is>
          <t>Angela</t>
        </is>
      </c>
      <c r="K169" s="50" t="inlineStr">
        <is>
          <t>Error técnico</t>
        </is>
      </c>
      <c r="L169" s="50" t="e">
        <v>#REF!</v>
      </c>
      <c r="M169" s="54" t="inlineStr">
        <is>
          <t>Reposición al cliente</t>
        </is>
      </c>
      <c r="N169" s="50" t="inlineStr">
        <is>
          <t>REVISAR BIEN PEDIDO Y CORTE. REPONER 1 UD DE PANEL</t>
        </is>
      </c>
      <c r="O169" s="47" t="inlineStr">
        <is>
          <t>Pedian un panel de 1100x1800 y otro de 800x1800 y se le puse 800x1100 en uno de ellos</t>
        </is>
      </c>
      <c r="P169" s="98" t="n">
        <v>228</v>
      </c>
      <c r="Q169" s="99" t="n"/>
      <c r="R169" s="99" t="n"/>
      <c r="S169" s="50" t="e">
        <v>#REF!</v>
      </c>
    </row>
    <row r="170" ht="45" customHeight="1">
      <c r="A170" s="55" t="inlineStr">
        <is>
          <t>CP168</t>
        </is>
      </c>
      <c r="B170" s="55" t="inlineStr">
        <is>
          <t>CERRADA</t>
        </is>
      </c>
      <c r="C170" s="56" t="n"/>
      <c r="E170" s="58" t="n">
        <v>45498</v>
      </c>
      <c r="F170" s="57" t="n">
        <v>4144</v>
      </c>
      <c r="G170" s="55" t="inlineStr">
        <is>
          <t>REP-COM. 4144. 00. JORBACHS PEDIDO DH MEDICAL CAT</t>
        </is>
      </c>
      <c r="H170" s="55" t="inlineStr">
        <is>
          <t>JORBACHS</t>
        </is>
      </c>
      <c r="I170" s="55" t="inlineStr">
        <is>
          <t>Manel</t>
        </is>
      </c>
      <c r="J170" s="55" t="inlineStr">
        <is>
          <t>Angela</t>
        </is>
      </c>
      <c r="K170" s="55" t="inlineStr">
        <is>
          <t>Defecto por comercial</t>
        </is>
      </c>
      <c r="L170" s="55" t="e">
        <v>#REF!</v>
      </c>
      <c r="M170" s="59" t="inlineStr">
        <is>
          <t>Reposicion al cliente</t>
        </is>
      </c>
      <c r="N170" s="55" t="inlineStr">
        <is>
          <t>Revisar bien el comercial qué le pide el cliente</t>
        </is>
      </c>
      <c r="O170" s="46" t="inlineStr">
        <is>
          <t>Se pedian ECOworking de un color con radio personalizados y  de otro color con radio estándar.  El comercial se confundió en descripcion de presupuesto y en la descripción del mail y cambió los colores. SE ORGANIZA RECOGIDA PARA OUTLET</t>
        </is>
      </c>
      <c r="P170" s="101" t="n">
        <v>627</v>
      </c>
      <c r="Q170" s="102" t="n"/>
      <c r="R170" s="102" t="n"/>
      <c r="S170" s="55" t="e">
        <v>#REF!</v>
      </c>
    </row>
    <row r="171" ht="30" customHeight="1">
      <c r="A171" s="50" t="inlineStr">
        <is>
          <t>CP169</t>
        </is>
      </c>
      <c r="B171" s="50" t="inlineStr">
        <is>
          <t>CERRADA</t>
        </is>
      </c>
      <c r="C171" s="51" t="n"/>
      <c r="D171" s="52" t="n"/>
      <c r="E171" s="53" t="n">
        <v>45499</v>
      </c>
      <c r="F171" s="52" t="n">
        <v>2949</v>
      </c>
      <c r="G171" s="50" t="inlineStr">
        <is>
          <t>REP-ERT. 2949. 01. TETRIS_OFICINAS SAP 2 MAD</t>
        </is>
      </c>
      <c r="H171" s="50" t="inlineStr">
        <is>
          <t>TETRIS</t>
        </is>
      </c>
      <c r="I171" s="50" t="inlineStr">
        <is>
          <t>Ricardo</t>
        </is>
      </c>
      <c r="J171" s="50" t="inlineStr">
        <is>
          <t>Diego</t>
        </is>
      </c>
      <c r="K171" s="50" t="inlineStr">
        <is>
          <t>Error técnico</t>
        </is>
      </c>
      <c r="L171" s="50" t="e">
        <v>#REF!</v>
      </c>
      <c r="M171" s="54" t="inlineStr">
        <is>
          <t>Reposición al cliente</t>
        </is>
      </c>
      <c r="N171" s="50" t="inlineStr">
        <is>
          <t>Envio de los anclajes que faltan 150 Uds Anclaje B</t>
        </is>
      </c>
      <c r="O171" s="47" t="inlineStr">
        <is>
          <t>Me faltaron por contar 52 unidades, pero en obra han faltado 150 uds. Se quedó un palet por envíar y puede que no se contaran bien.</t>
        </is>
      </c>
      <c r="P171" s="98">
        <f>150*5</f>
        <v/>
      </c>
      <c r="Q171" s="99" t="n"/>
      <c r="R171" s="99" t="n"/>
      <c r="S171" s="50" t="e">
        <v>#REF!</v>
      </c>
    </row>
    <row r="172" ht="30" customHeight="1">
      <c r="A172" s="55" t="inlineStr">
        <is>
          <t>CP170</t>
        </is>
      </c>
      <c r="B172" s="55" t="inlineStr">
        <is>
          <t>CERRADA</t>
        </is>
      </c>
      <c r="C172" s="56" t="n"/>
      <c r="E172" s="58" t="n">
        <v>45502</v>
      </c>
      <c r="F172" s="57" t="n">
        <v>4047</v>
      </c>
      <c r="G172" s="55" t="inlineStr">
        <is>
          <t>REP-FC. 4047. 00. RCL CLOUDS Y TECHO TECNICO CAT</t>
        </is>
      </c>
      <c r="H172" s="55" t="inlineStr">
        <is>
          <t>RCL</t>
        </is>
      </c>
      <c r="I172" s="55" t="inlineStr">
        <is>
          <t xml:space="preserve">manel </t>
        </is>
      </c>
      <c r="J172" s="55" t="inlineStr">
        <is>
          <t>Angela</t>
        </is>
      </c>
      <c r="K172" s="55" t="inlineStr">
        <is>
          <t>Falta Componentes</t>
        </is>
      </c>
      <c r="L172" s="55" t="e">
        <v>#REF!</v>
      </c>
      <c r="M172" s="59" t="inlineStr">
        <is>
          <t>Abono al cliente</t>
        </is>
      </c>
      <c r="N172" s="55" t="inlineStr">
        <is>
          <t>Abono de 97 Ud anclajes ( 533,5 €+ IVA)</t>
        </is>
      </c>
      <c r="O172" s="46" t="inlineStr">
        <is>
          <t>En pedido había 240 anclajes B y llegan 142 ud. Se le envía uno  con pedido 4413</t>
        </is>
      </c>
      <c r="P172" s="101" t="n"/>
      <c r="Q172" s="102" t="n"/>
      <c r="R172" s="102" t="n"/>
      <c r="S172" s="55" t="e">
        <v>#REF!</v>
      </c>
    </row>
    <row r="173" ht="30" customHeight="1">
      <c r="A173" s="50" t="inlineStr">
        <is>
          <t>CP171</t>
        </is>
      </c>
      <c r="B173" s="50" t="inlineStr">
        <is>
          <t>CERRADA</t>
        </is>
      </c>
      <c r="C173" s="51" t="n"/>
      <c r="D173" s="52" t="n"/>
      <c r="E173" s="53" t="n">
        <v>45502</v>
      </c>
      <c r="F173" s="52" t="n">
        <v>3720</v>
      </c>
      <c r="G173" s="50" t="inlineStr">
        <is>
          <t>REP-DC 3720. 00. UNIVESIDAD SAN DIEGO BAMER ECONORDIK MAD</t>
        </is>
      </c>
      <c r="H173" s="50" t="inlineStr">
        <is>
          <t>BAMER</t>
        </is>
      </c>
      <c r="I173" s="50" t="inlineStr">
        <is>
          <t>Ricardo</t>
        </is>
      </c>
      <c r="J173" s="50" t="inlineStr">
        <is>
          <t>Diego</t>
        </is>
      </c>
      <c r="K173" s="50" t="inlineStr">
        <is>
          <t>Defecto por cliente</t>
        </is>
      </c>
      <c r="L173" s="50" t="e">
        <v>#REF!</v>
      </c>
      <c r="M173" s="54" t="inlineStr">
        <is>
          <t>Reposición al cliente</t>
        </is>
      </c>
      <c r="N173" s="50" t="inlineStr">
        <is>
          <t>Foto antes de empaquetado confirmando que las tiras estan el el paquete</t>
        </is>
      </c>
      <c r="O173" s="47" t="inlineStr">
        <is>
          <t>Tiras de panel para empalmar ECOnordiks no llegan según cliente, incluidas en dxf, Sergio y Angel confirmaron que las tiras estaban</t>
        </is>
      </c>
      <c r="P173" s="98" t="n">
        <v>100</v>
      </c>
      <c r="Q173" s="99" t="n"/>
      <c r="R173" s="99" t="n"/>
      <c r="S173" s="50" t="e">
        <v>#REF!</v>
      </c>
    </row>
    <row r="174" ht="30" customHeight="1">
      <c r="A174" s="55" t="inlineStr">
        <is>
          <t>CP172</t>
        </is>
      </c>
      <c r="B174" s="55" t="inlineStr">
        <is>
          <t>CERRADA</t>
        </is>
      </c>
      <c r="C174" s="56" t="n"/>
      <c r="E174" s="58" t="n">
        <v>45503</v>
      </c>
      <c r="F174" s="57" t="n">
        <v>3548</v>
      </c>
      <c r="G174" s="55" t="inlineStr">
        <is>
          <t>REP-ERF 3548. 02. VISUAL PROJECTS ECONORDIK AMPLIACIÓN 236 NO IGN</t>
        </is>
      </c>
      <c r="H174" s="55" t="inlineStr">
        <is>
          <t>VISUAL PROJECTS</t>
        </is>
      </c>
      <c r="I174" s="55" t="inlineStr">
        <is>
          <t>Covadonga</t>
        </is>
      </c>
      <c r="J174" s="55" t="inlineStr">
        <is>
          <t>Mónica</t>
        </is>
      </c>
      <c r="K174" s="55" t="inlineStr">
        <is>
          <t>Fabricación</t>
        </is>
      </c>
      <c r="L174" s="55" t="e">
        <v>#REF!</v>
      </c>
      <c r="M174" s="59" t="inlineStr">
        <is>
          <t>Reposición al cliente</t>
        </is>
      </c>
      <c r="N174" s="55" t="inlineStr">
        <is>
          <t>Comprobar que los listones de madera sean similares entre sí y del mismo modelo.</t>
        </is>
      </c>
      <c r="O174" s="46" t="inlineStr">
        <is>
          <t>Se han suministrado unos ECOnordiks con los listones de diferentes colores (roble por nature.</t>
        </is>
      </c>
      <c r="P174" s="101" t="n">
        <v>435.6</v>
      </c>
      <c r="Q174" s="102" t="n"/>
      <c r="R174" s="102" t="n"/>
      <c r="S174" s="55" t="e">
        <v>#REF!</v>
      </c>
    </row>
    <row r="175" ht="30" customHeight="1">
      <c r="A175" s="50" t="inlineStr">
        <is>
          <t>CP173</t>
        </is>
      </c>
      <c r="B175" s="50" t="inlineStr">
        <is>
          <t>CERRADA</t>
        </is>
      </c>
      <c r="C175" s="51" t="n"/>
      <c r="D175" s="52" t="n"/>
      <c r="E175" s="53" t="n">
        <v>45503</v>
      </c>
      <c r="F175" s="52" t="n">
        <v>3561</v>
      </c>
      <c r="G175" s="50" t="inlineStr">
        <is>
          <t>REP-FC. 3561. 00. ANSE AMPLIACION PED 3310 MORALEJA II CAT</t>
        </is>
      </c>
      <c r="H175" s="50" t="inlineStr">
        <is>
          <t>ANSE</t>
        </is>
      </c>
      <c r="I175" s="50" t="inlineStr">
        <is>
          <t>manel</t>
        </is>
      </c>
      <c r="J175" s="50" t="inlineStr">
        <is>
          <t>Angela</t>
        </is>
      </c>
      <c r="K175" s="50" t="inlineStr">
        <is>
          <t>Falta Componentes</t>
        </is>
      </c>
      <c r="L175" s="50" t="e">
        <v>#REF!</v>
      </c>
      <c r="M175" s="54" t="inlineStr">
        <is>
          <t>Reposicion al cliente</t>
        </is>
      </c>
      <c r="N175" s="50" t="inlineStr">
        <is>
          <t>Contar 2 veces o  pesar para hacer comprobaciones</t>
        </is>
      </c>
      <c r="O175" s="47" t="inlineStr">
        <is>
          <t xml:space="preserve">No se han enviado los anclajes del pedido. TOTAL 4 UD ANCLAJES C, Pero si estaban contemplados </t>
        </is>
      </c>
      <c r="P175" s="98">
        <f>10*4*0.45</f>
        <v/>
      </c>
      <c r="Q175" s="99" t="n"/>
      <c r="R175" s="99" t="n"/>
      <c r="S175" s="50" t="e">
        <v>#REF!</v>
      </c>
    </row>
    <row r="176" ht="30" customHeight="1">
      <c r="A176" s="55" t="inlineStr">
        <is>
          <t>CP174</t>
        </is>
      </c>
      <c r="B176" s="55" t="inlineStr">
        <is>
          <t>CERRADA</t>
        </is>
      </c>
      <c r="C176" s="56" t="n"/>
      <c r="E176" s="58" t="n">
        <v>45504</v>
      </c>
      <c r="F176" s="57" t="n">
        <v>4386</v>
      </c>
      <c r="G176" s="55" t="inlineStr">
        <is>
          <t>REP-IT.   4386. 00. EXPERT LINE FOAM CAT</t>
        </is>
      </c>
      <c r="H176" s="55" t="inlineStr">
        <is>
          <t>EXPERT LINE</t>
        </is>
      </c>
      <c r="I176" s="55" t="inlineStr">
        <is>
          <t>MANEL</t>
        </is>
      </c>
      <c r="J176" s="55" t="inlineStr">
        <is>
          <t>Angela</t>
        </is>
      </c>
      <c r="K176" s="55" t="inlineStr">
        <is>
          <t>Transporte</t>
        </is>
      </c>
      <c r="L176" s="55" t="e">
        <v>#REF!</v>
      </c>
      <c r="M176" s="59" t="inlineStr">
        <is>
          <t>Reposicion al cliente</t>
        </is>
      </c>
      <c r="N176" s="55" t="inlineStr">
        <is>
          <t xml:space="preserve"> REPONER 2 cajas de foam dañadas. Piden reposición </t>
        </is>
      </c>
      <c r="O176" s="46" t="inlineStr">
        <is>
          <t xml:space="preserve">pedido inicial de 99 rectangulos foam blanco pintado. Llegan 2 cajad dañadas. En el albarán así lo indica. Reponer 9ud </t>
        </is>
      </c>
      <c r="P176" s="101" t="n">
        <v>320.4</v>
      </c>
      <c r="Q176" s="102" t="n"/>
      <c r="R176" s="102" t="n"/>
      <c r="S176" s="55" t="e">
        <v>#REF!</v>
      </c>
    </row>
    <row r="177" ht="30" customHeight="1">
      <c r="A177" s="50" t="inlineStr">
        <is>
          <t>CP175</t>
        </is>
      </c>
      <c r="B177" s="50" t="inlineStr">
        <is>
          <t>CERRADA</t>
        </is>
      </c>
      <c r="C177" s="51" t="n"/>
      <c r="D177" s="52" t="n"/>
      <c r="E177" s="53" t="n">
        <v>45505</v>
      </c>
      <c r="F177" s="52" t="n">
        <v>2824</v>
      </c>
      <c r="G177" s="50" t="inlineStr">
        <is>
          <t>REP-CO 2 2824. 00. UBICCA OFICINAS UBICCA MAD</t>
        </is>
      </c>
      <c r="H177" s="50" t="inlineStr">
        <is>
          <t>UBICCA</t>
        </is>
      </c>
      <c r="I177" s="50" t="inlineStr">
        <is>
          <t>Jorge Rubio</t>
        </is>
      </c>
      <c r="J177" s="50" t="inlineStr">
        <is>
          <t>Diego</t>
        </is>
      </c>
      <c r="K177" s="50" t="inlineStr">
        <is>
          <t>Color - Lote - Diferencia</t>
        </is>
      </c>
      <c r="L177" s="50" t="e">
        <v>#REF!</v>
      </c>
      <c r="M177" s="54" t="inlineStr">
        <is>
          <t>Reposición al cliente</t>
        </is>
      </c>
      <c r="N177" s="50" t="inlineStr">
        <is>
          <t>Reponer pared completa para asegurar color</t>
        </is>
      </c>
      <c r="O177" s="47" t="inlineStr">
        <is>
          <t xml:space="preserve">2 paneles ECO-139 verde oscuro destonificados del resto, no se acertó con el lote de la reposición anterior </t>
        </is>
      </c>
      <c r="P177" s="98" t="n">
        <v>576</v>
      </c>
      <c r="Q177" s="99" t="n"/>
      <c r="R177" s="99" t="n"/>
      <c r="S177" s="50" t="e">
        <v>#REF!</v>
      </c>
    </row>
    <row r="178" ht="45" customHeight="1">
      <c r="A178" s="55" t="inlineStr">
        <is>
          <t>CP176</t>
        </is>
      </c>
      <c r="B178" s="55" t="inlineStr">
        <is>
          <t>CERRADA</t>
        </is>
      </c>
      <c r="C178" s="56" t="n"/>
      <c r="E178" s="58" t="n">
        <v>45505</v>
      </c>
      <c r="F178" s="57" t="n">
        <v>4617</v>
      </c>
      <c r="G178" s="55" t="inlineStr">
        <is>
          <t>REP-IT 4617. 00. CHATEAU THIERRY ESSOMES_PORYECTO CANE_PHM_FR</t>
        </is>
      </c>
      <c r="H178" s="55" t="inlineStr">
        <is>
          <t>CHATEAU</t>
        </is>
      </c>
      <c r="I178" s="55" t="inlineStr">
        <is>
          <t>Virginia</t>
        </is>
      </c>
      <c r="J178" s="55" t="inlineStr">
        <is>
          <t>Rashli</t>
        </is>
      </c>
      <c r="K178" s="55" t="inlineStr">
        <is>
          <t>Transporte</t>
        </is>
      </c>
      <c r="L178" s="55" t="e">
        <v>#REF!</v>
      </c>
      <c r="M178" s="59" t="inlineStr">
        <is>
          <t>Reposición al cliente</t>
        </is>
      </c>
      <c r="N178" s="55" t="inlineStr">
        <is>
          <t>Proteger mejor los paquetes</t>
        </is>
      </c>
      <c r="O178" s="46" t="inlineStr">
        <is>
          <t>Reponer 3 ECOcloud. La mercancía sale de ECOcero paletizada, flejada, con cantoneras de PET y cartón, con Film. Llegan mal los paneles, sin palet, sin fleje, sin pirámides antiremonte, film ni cantoneras. Llegan esquinas llegan dobladas y sentidas</t>
        </is>
      </c>
      <c r="P178" s="101" t="n">
        <v>544.5</v>
      </c>
      <c r="Q178" s="102" t="n"/>
      <c r="R178" s="102" t="n"/>
      <c r="S178" s="55" t="e">
        <v>#REF!</v>
      </c>
    </row>
    <row r="179" ht="30" customHeight="1">
      <c r="A179" s="50" t="inlineStr">
        <is>
          <t>CP177</t>
        </is>
      </c>
      <c r="B179" s="50" t="inlineStr">
        <is>
          <t>CERRADA</t>
        </is>
      </c>
      <c r="C179" s="51" t="n"/>
      <c r="D179" s="52" t="n"/>
      <c r="E179" s="53" t="n">
        <v>45511</v>
      </c>
      <c r="F179" s="52" t="n">
        <v>3865</v>
      </c>
      <c r="G179" s="50" t="inlineStr">
        <is>
          <t>REP-PRO 3865.01. ORSAL SWEET HOME CV</t>
        </is>
      </c>
      <c r="H179" s="50" t="inlineStr">
        <is>
          <t>ORSAL</t>
        </is>
      </c>
      <c r="I179" s="50" t="inlineStr">
        <is>
          <t>Javier Hernández</t>
        </is>
      </c>
      <c r="J179" s="50" t="inlineStr">
        <is>
          <t>Marc</t>
        </is>
      </c>
      <c r="K179" s="50" t="inlineStr">
        <is>
          <t>Proveedor</t>
        </is>
      </c>
      <c r="L179" s="50" t="e">
        <v>#REF!</v>
      </c>
      <c r="M179" s="54" t="inlineStr">
        <is>
          <t>Reposición al cliente</t>
        </is>
      </c>
      <c r="N179" s="50" t="inlineStr">
        <is>
          <t>Solicitar nueva puerta al proveedor y avisar del problema</t>
        </is>
      </c>
      <c r="O179" s="47" t="inlineStr">
        <is>
          <t>Reponer puerta al cliente, esta llega con la unión interior con el cristal desportillada</t>
        </is>
      </c>
      <c r="P179" s="98" t="n"/>
      <c r="Q179" s="99" t="n"/>
      <c r="R179" s="99" t="n"/>
      <c r="S179" s="50" t="e">
        <v>#REF!</v>
      </c>
    </row>
    <row r="180" ht="30" customHeight="1">
      <c r="A180" s="55" t="inlineStr">
        <is>
          <t>CP178</t>
        </is>
      </c>
      <c r="B180" s="55" t="inlineStr">
        <is>
          <t>CERRADA</t>
        </is>
      </c>
      <c r="C180" s="56" t="n"/>
      <c r="E180" s="58" t="n">
        <v>45511</v>
      </c>
      <c r="F180" s="57" t="n">
        <v>4306</v>
      </c>
      <c r="G180" s="55" t="inlineStr">
        <is>
          <t>REP-FP 4306. 00. TRAINING SOFTWARE MERCALICANTE V-CUT CV</t>
        </is>
      </c>
      <c r="H180" s="55" t="inlineStr">
        <is>
          <t>TRAINING SOFTWARE</t>
        </is>
      </c>
      <c r="I180" s="55" t="inlineStr">
        <is>
          <t>Javier Hernandez</t>
        </is>
      </c>
      <c r="J180" s="55" t="inlineStr">
        <is>
          <t>Luis</t>
        </is>
      </c>
      <c r="K180" s="55" t="inlineStr">
        <is>
          <t>Falta Paneles</t>
        </is>
      </c>
      <c r="L180" s="55" t="e">
        <v>#REF!</v>
      </c>
      <c r="M180" s="59" t="inlineStr">
        <is>
          <t>Reposicion al cliente</t>
        </is>
      </c>
      <c r="N180" s="55" t="inlineStr">
        <is>
          <t>Revisar que esté todo el material en el envío</t>
        </is>
      </c>
      <c r="O180" s="46" t="inlineStr">
        <is>
          <t xml:space="preserve">1 logo troquel Les ha faltado el logo por llegarles. </t>
        </is>
      </c>
      <c r="P180" s="101" t="n"/>
      <c r="Q180" s="102" t="n"/>
      <c r="R180" s="102" t="n"/>
      <c r="S180" s="55" t="e">
        <v>#REF!</v>
      </c>
    </row>
    <row r="181" ht="30" customHeight="1">
      <c r="A181" s="50" t="inlineStr">
        <is>
          <t>CP179</t>
        </is>
      </c>
      <c r="B181" s="50" t="inlineStr">
        <is>
          <t>CERRADA</t>
        </is>
      </c>
      <c r="C181" s="51" t="n"/>
      <c r="D181" s="52" t="n"/>
      <c r="E181" s="53" t="n">
        <v>45511</v>
      </c>
      <c r="F181" s="52" t="n">
        <v>843</v>
      </c>
      <c r="G181" s="50" t="inlineStr">
        <is>
          <t>REP-COM 843. 00. AMPLIACION_THONON LES BAINS_RESO PLI_FR</t>
        </is>
      </c>
      <c r="H181" s="50" t="inlineStr">
        <is>
          <t>RESO LPI</t>
        </is>
      </c>
      <c r="I181" s="50" t="inlineStr">
        <is>
          <t>Virginia</t>
        </is>
      </c>
      <c r="J181" s="50" t="inlineStr">
        <is>
          <t>Rashli</t>
        </is>
      </c>
      <c r="K181" s="50" t="inlineStr">
        <is>
          <t>Defecto por comercial</t>
        </is>
      </c>
      <c r="L181" s="50" t="e">
        <v>#REF!</v>
      </c>
      <c r="M181" s="54" t="inlineStr">
        <is>
          <t>Reposicion al cliente</t>
        </is>
      </c>
      <c r="N181" s="50" t="inlineStr">
        <is>
          <t>Confirmar correctamente el comercial con el cliente las dimensiones</t>
        </is>
      </c>
      <c r="O181" s="47" t="inlineStr">
        <is>
          <t xml:space="preserve">El comercial no ha trasladado al cliente que esas dimensiones ya no se fabrican (ampliación pedido 2020),aunque el técnico pidiera que se hiciese. </t>
        </is>
      </c>
      <c r="P181" s="98" t="n">
        <v>550.2</v>
      </c>
      <c r="Q181" s="99" t="n"/>
      <c r="R181" s="99" t="n"/>
      <c r="S181" s="50" t="e">
        <v>#REF!</v>
      </c>
    </row>
    <row r="182" ht="45" customHeight="1">
      <c r="A182" s="55" t="inlineStr">
        <is>
          <t>CP180</t>
        </is>
      </c>
      <c r="B182" s="55" t="inlineStr">
        <is>
          <t>CERRADA</t>
        </is>
      </c>
      <c r="C182" s="56" t="n"/>
      <c r="E182" s="58" t="n">
        <v>45512</v>
      </c>
      <c r="F182" s="57" t="n">
        <v>1232</v>
      </c>
      <c r="G182" s="55" t="inlineStr">
        <is>
          <t>REP-ERT. 1232. 04. ESCRITORIO FORVIA_DECOTIRSO_ECOWALL+ECONORDIK_PT</t>
        </is>
      </c>
      <c r="H182" s="55" t="inlineStr">
        <is>
          <t>DECOTIRSO</t>
        </is>
      </c>
      <c r="I182" s="55" t="inlineStr">
        <is>
          <t>Paulo</t>
        </is>
      </c>
      <c r="J182" s="55" t="inlineStr">
        <is>
          <t>Luis</t>
        </is>
      </c>
      <c r="K182" s="55" t="inlineStr">
        <is>
          <t>Error técnico</t>
        </is>
      </c>
      <c r="L182" s="55" t="e">
        <v>#REF!</v>
      </c>
      <c r="M182" s="59" t="inlineStr">
        <is>
          <t>Reposicion al cliente</t>
        </is>
      </c>
      <c r="N182" s="55" t="inlineStr">
        <is>
          <t>Se cortan y se envian junto con los nordik que nos olvidamos</t>
        </is>
      </c>
      <c r="O182" s="46" t="inlineStr">
        <is>
          <t>Dejamos 1 bulto aquí sin enviar y el técnico no puso el despiece correctamente</t>
        </is>
      </c>
      <c r="P182" s="101" t="n"/>
      <c r="Q182" s="102" t="n"/>
      <c r="R182" s="102" t="n"/>
      <c r="S182" s="55" t="e">
        <v>#REF!</v>
      </c>
    </row>
    <row r="183" ht="30" customHeight="1">
      <c r="A183" s="50" t="inlineStr">
        <is>
          <t>CP181</t>
        </is>
      </c>
      <c r="B183" s="50" t="inlineStr">
        <is>
          <t>CERRADA</t>
        </is>
      </c>
      <c r="C183" s="51" t="n"/>
      <c r="D183" s="52" t="n"/>
      <c r="E183" s="53" t="n">
        <v>45513</v>
      </c>
      <c r="F183" s="52" t="n">
        <v>4700</v>
      </c>
      <c r="G183" s="50" t="inlineStr">
        <is>
          <t>REP-ERT. 4700. 01. BPM PRESUPUESTO 240 4041 CV</t>
        </is>
      </c>
      <c r="H183" s="50" t="inlineStr">
        <is>
          <t>BPM</t>
        </is>
      </c>
      <c r="I183" s="50" t="inlineStr">
        <is>
          <t>-</t>
        </is>
      </c>
      <c r="J183" s="50" t="inlineStr">
        <is>
          <t>Luis</t>
        </is>
      </c>
      <c r="K183" s="50" t="inlineStr">
        <is>
          <t>Error técnico</t>
        </is>
      </c>
      <c r="L183" s="50" t="e">
        <v>#REF!</v>
      </c>
      <c r="M183" s="54" t="inlineStr">
        <is>
          <t>Reposicion al cliente</t>
        </is>
      </c>
      <c r="N183" s="50" t="n"/>
      <c r="O183" s="47" t="inlineStr">
        <is>
          <t>Al copiar los archivos enviados por el cliente los circulos se copiarond e un tamaño erróneo.</t>
        </is>
      </c>
      <c r="P183" s="98" t="n"/>
      <c r="Q183" s="99" t="n"/>
      <c r="R183" s="99" t="n"/>
      <c r="S183" s="50" t="e">
        <v>#REF!</v>
      </c>
    </row>
    <row r="184" ht="30" customHeight="1">
      <c r="A184" s="55" t="inlineStr">
        <is>
          <t>CP182</t>
        </is>
      </c>
      <c r="B184" s="55" t="inlineStr">
        <is>
          <t>CERRADA</t>
        </is>
      </c>
      <c r="C184" s="56" t="n"/>
      <c r="E184" s="58" t="n">
        <v>45517</v>
      </c>
      <c r="F184" s="57" t="n">
        <v>2560</v>
      </c>
      <c r="G184" s="55" t="inlineStr">
        <is>
          <t>REP-ERT 2560. 03. IDEAS INTERIORISMO HINOJOSA QUADRILATERAL CV</t>
        </is>
      </c>
      <c r="H184" s="55" t="inlineStr">
        <is>
          <t>IDEAS INTERIORISMO</t>
        </is>
      </c>
      <c r="I184" s="55" t="inlineStr">
        <is>
          <t>Javier Hernández</t>
        </is>
      </c>
      <c r="J184" s="55" t="inlineStr">
        <is>
          <t>Luis</t>
        </is>
      </c>
      <c r="K184" s="55" t="inlineStr">
        <is>
          <t>Error técnico</t>
        </is>
      </c>
      <c r="L184" s="55" t="e">
        <v>#REF!</v>
      </c>
      <c r="M184" s="59" t="inlineStr">
        <is>
          <t>Reposición al cliente</t>
        </is>
      </c>
      <c r="N184" s="55" t="inlineStr">
        <is>
          <t>Reposición al cliente de dos unidades de islas personalizadas</t>
        </is>
      </c>
      <c r="O184" s="46" t="inlineStr">
        <is>
          <t>Islas de distinto tamaño, dos unidades de isla se cortaron en dimensiones equivocadas.</t>
        </is>
      </c>
      <c r="P184" s="101" t="n"/>
      <c r="Q184" s="102" t="n"/>
      <c r="R184" s="102" t="n"/>
      <c r="S184" s="55" t="e">
        <v>#REF!</v>
      </c>
    </row>
    <row r="185" ht="45" customHeight="1">
      <c r="A185" s="50" t="inlineStr">
        <is>
          <t>CP183</t>
        </is>
      </c>
      <c r="B185" s="50" t="inlineStr">
        <is>
          <t>CERRADA</t>
        </is>
      </c>
      <c r="C185" s="51" t="n"/>
      <c r="D185" s="52" t="n"/>
      <c r="E185" s="53" t="n">
        <v>45517</v>
      </c>
      <c r="F185" s="52" t="n">
        <v>4734</v>
      </c>
      <c r="G185" s="50" t="inlineStr">
        <is>
          <t>REP-IT. 4734. 00. OCR_HORACIO COSTA_ ECOBASIC 9MM_PT</t>
        </is>
      </c>
      <c r="H185" s="50" t="inlineStr">
        <is>
          <t>HORACIO COSTA</t>
        </is>
      </c>
      <c r="I185" s="50" t="inlineStr">
        <is>
          <t>Paulo</t>
        </is>
      </c>
      <c r="J185" s="50" t="inlineStr">
        <is>
          <t>Luis</t>
        </is>
      </c>
      <c r="K185" s="50" t="inlineStr">
        <is>
          <t>Transporte</t>
        </is>
      </c>
      <c r="L185" s="50" t="e">
        <v>#REF!</v>
      </c>
      <c r="M185" s="54" t="inlineStr">
        <is>
          <t>Reposición al cliente</t>
        </is>
      </c>
      <c r="N185" s="50" t="inlineStr">
        <is>
          <t>Reposicion al cliente de 1 panel</t>
        </is>
      </c>
      <c r="O185" s="47" t="inlineStr">
        <is>
          <t>El cliente recibe el panel ECO-125 deformado, lo instala porque tenia programada la instalacion para ese dia pero el cliente no lo acepta. Veo que el empaquetado esta perfecto y se le consulta si habia algun golpe o el bulto estaba dañado por transporte.</t>
        </is>
      </c>
      <c r="P185" s="98" t="n"/>
      <c r="Q185" s="99" t="n"/>
      <c r="R185" s="99" t="n"/>
      <c r="S185" s="50" t="e">
        <v>#REF!</v>
      </c>
    </row>
    <row r="186" ht="45" customHeight="1">
      <c r="A186" s="55" t="inlineStr">
        <is>
          <t>CP184</t>
        </is>
      </c>
      <c r="B186" s="55" t="inlineStr">
        <is>
          <t>CERRADA</t>
        </is>
      </c>
      <c r="C186" s="56" t="n"/>
      <c r="E186" s="58" t="n">
        <v>45523</v>
      </c>
      <c r="F186" s="57" t="n">
        <v>2881</v>
      </c>
      <c r="G186" s="55" t="inlineStr">
        <is>
          <t>REP-ERT. 2881. 00. CARPINTERÍA NILO_WETTINGEN_KURATLE_ECO</t>
        </is>
      </c>
      <c r="I186" s="55" t="inlineStr">
        <is>
          <t>Paloma</t>
        </is>
      </c>
      <c r="J186" s="55" t="inlineStr">
        <is>
          <t>Luis</t>
        </is>
      </c>
      <c r="K186" s="55" t="inlineStr">
        <is>
          <t>Error técnico</t>
        </is>
      </c>
      <c r="L186" s="55" t="e">
        <v>#REF!</v>
      </c>
      <c r="M186" s="59" t="inlineStr">
        <is>
          <t>Reposición al cliente</t>
        </is>
      </c>
      <c r="N186" s="55" t="inlineStr">
        <is>
          <t>Reposicion al cliente de 2 piezas (1 panel)</t>
        </is>
      </c>
      <c r="O186" s="46" t="inlineStr">
        <is>
          <t>Se trata de una ECOcloud circular de varias piezas. Se mandan 4 piezas iguales (sin hacer simetria) con los tacos en la misma cara. Al instalar la ECOcloud, hay 2 piezas que no valen, ya que tienen los tacos pegados por la cara que no es.</t>
        </is>
      </c>
      <c r="P186" s="101" t="n"/>
      <c r="Q186" s="102" t="n"/>
      <c r="R186" s="102" t="n"/>
      <c r="S186" s="55" t="e">
        <v>#REF!</v>
      </c>
    </row>
    <row r="187" ht="30" customHeight="1">
      <c r="A187" s="50" t="inlineStr">
        <is>
          <t>CP185</t>
        </is>
      </c>
      <c r="B187" s="50" t="inlineStr">
        <is>
          <t>CERRADA</t>
        </is>
      </c>
      <c r="C187" s="51" t="n"/>
      <c r="D187" s="52" t="n"/>
      <c r="E187" s="53" t="n">
        <v>45526</v>
      </c>
      <c r="F187" s="52" t="n">
        <v>2825</v>
      </c>
      <c r="G187" s="50" t="inlineStr">
        <is>
          <t>REP-DC 2825. 00. UBICCA ATRIO Y CANTINA BWM MADRID MAD</t>
        </is>
      </c>
      <c r="H187" s="50" t="inlineStr">
        <is>
          <t>UBICCA</t>
        </is>
      </c>
      <c r="I187" s="50" t="inlineStr">
        <is>
          <t>Jorge Rubio</t>
        </is>
      </c>
      <c r="J187" s="50" t="inlineStr">
        <is>
          <t>Emilio</t>
        </is>
      </c>
      <c r="K187" s="50" t="inlineStr">
        <is>
          <t>Defecto por cliente</t>
        </is>
      </c>
      <c r="L187" s="50" t="e">
        <v>#REF!</v>
      </c>
      <c r="M187" s="54" t="inlineStr">
        <is>
          <t>Reposición al cliente</t>
        </is>
      </c>
      <c r="N187" s="50" t="inlineStr">
        <is>
          <t>Reposición de las unidades faltantes</t>
        </is>
      </c>
      <c r="O187" s="47" t="inlineStr">
        <is>
          <t>Pared con paneles de 1.80 de ancho. Una de ellas requeria 1.81 en lugar de 1.80, archivo de corte en orden. Posible error en instalación.</t>
        </is>
      </c>
      <c r="P187" s="98" t="n">
        <v>880</v>
      </c>
      <c r="Q187" s="99" t="n"/>
      <c r="R187" s="99" t="n"/>
      <c r="S187" s="50" t="e">
        <v>#REF!</v>
      </c>
    </row>
    <row r="188" ht="30" customHeight="1">
      <c r="A188" s="55" t="inlineStr">
        <is>
          <t>CP186</t>
        </is>
      </c>
      <c r="B188" s="55" t="inlineStr">
        <is>
          <t>CERRADA</t>
        </is>
      </c>
      <c r="C188" s="56" t="n"/>
      <c r="E188" s="58" t="n">
        <v>45527</v>
      </c>
      <c r="F188" s="57" t="n">
        <v>3626</v>
      </c>
      <c r="G188" s="55" t="inlineStr">
        <is>
          <t>REP-DC 3626. 00. SERTEBRA CBRE IBERIA MAD</t>
        </is>
      </c>
      <c r="H188" s="55" t="inlineStr">
        <is>
          <t>SERTEBRA</t>
        </is>
      </c>
      <c r="I188" s="55" t="inlineStr">
        <is>
          <t>Jorge Rubio</t>
        </is>
      </c>
      <c r="J188" s="55" t="inlineStr">
        <is>
          <t>Diego</t>
        </is>
      </c>
      <c r="K188" s="55" t="inlineStr">
        <is>
          <t>Defecto por cliente</t>
        </is>
      </c>
      <c r="L188" s="55" t="e">
        <v>#REF!</v>
      </c>
      <c r="M188" s="59" t="inlineStr">
        <is>
          <t>Reposición al cliente</t>
        </is>
      </c>
      <c r="N188" s="55" t="inlineStr">
        <is>
          <t xml:space="preserve">Reposición al cliente de 8+1 paneles pintados con manchas </t>
        </is>
      </c>
      <c r="O188" s="46" t="inlineStr">
        <is>
          <t>Paneles pintados en RAL con manchas, salen de fabrica bien, almacenados durante 1 mes antes de su instalación. Se reponen porque es SERTEBRA</t>
        </is>
      </c>
      <c r="P188" s="101" t="n">
        <v>1710</v>
      </c>
      <c r="Q188" s="102" t="n"/>
      <c r="R188" s="102" t="n"/>
      <c r="S188" s="55" t="e">
        <v>#REF!</v>
      </c>
    </row>
    <row r="189" ht="45" customHeight="1">
      <c r="A189" s="50" t="inlineStr">
        <is>
          <t>CP187</t>
        </is>
      </c>
      <c r="B189" s="50" t="inlineStr">
        <is>
          <t>CERRADA</t>
        </is>
      </c>
      <c r="C189" s="51" t="n"/>
      <c r="D189" s="52" t="n"/>
      <c r="E189" s="53" t="n">
        <v>45531</v>
      </c>
      <c r="F189" s="52" t="n">
        <v>2354</v>
      </c>
      <c r="G189" s="50" t="inlineStr">
        <is>
          <t>REP-ERT 2354. 01. ROVEL TECHO TECNICO 9MM LP</t>
        </is>
      </c>
      <c r="H189" s="50" t="inlineStr">
        <is>
          <t>ROVEL</t>
        </is>
      </c>
      <c r="I189" s="50" t="inlineStr">
        <is>
          <t>Iker</t>
        </is>
      </c>
      <c r="J189" s="50" t="inlineStr">
        <is>
          <t>Rashli</t>
        </is>
      </c>
      <c r="K189" s="50" t="inlineStr">
        <is>
          <t>Error técnico</t>
        </is>
      </c>
      <c r="L189" s="50" t="e">
        <v>#REF!</v>
      </c>
      <c r="M189" s="54" t="inlineStr">
        <is>
          <t>Reposición al cliente</t>
        </is>
      </c>
      <c r="N189" s="50" t="inlineStr">
        <is>
          <t>Enviar los paneles con los módulos en dirección contraria</t>
        </is>
      </c>
      <c r="O189" s="47" t="inlineStr">
        <is>
          <t>12 módulos de Aline. Hay que aclarar todas las cosas con el cliente, no hacer el diseño hasta tener el 100% de la información. El cliente no terminó de confirmar la dirección y se entendieron como Aline estándar</t>
        </is>
      </c>
      <c r="P189" s="98" t="n">
        <v>2989.96</v>
      </c>
      <c r="Q189" s="99" t="n"/>
      <c r="R189" s="99" t="n"/>
      <c r="S189" s="50" t="e">
        <v>#REF!</v>
      </c>
    </row>
    <row r="190" ht="30" customHeight="1">
      <c r="A190" s="55" t="inlineStr">
        <is>
          <t>CP188</t>
        </is>
      </c>
      <c r="B190" s="55" t="inlineStr">
        <is>
          <t>CERRADA</t>
        </is>
      </c>
      <c r="C190" s="56" t="n"/>
      <c r="E190" s="58" t="n">
        <v>45531</v>
      </c>
      <c r="F190" s="57" t="n">
        <v>4371</v>
      </c>
      <c r="G190" s="55" t="inlineStr">
        <is>
          <t>REP-ERT 4371. 00. FRCHLE07_KINNARPS_ECOBASIC_FR</t>
        </is>
      </c>
      <c r="H190" s="55" t="inlineStr">
        <is>
          <t>KINNARPS</t>
        </is>
      </c>
      <c r="I190" s="55" t="inlineStr">
        <is>
          <t>Virginia</t>
        </is>
      </c>
      <c r="J190" s="55" t="inlineStr">
        <is>
          <t>Rashli</t>
        </is>
      </c>
      <c r="K190" s="55" t="inlineStr">
        <is>
          <t>Error técnico</t>
        </is>
      </c>
      <c r="L190" s="55" t="e">
        <v>#REF!</v>
      </c>
      <c r="M190" s="59" t="inlineStr">
        <is>
          <t>Reposición al cliente</t>
        </is>
      </c>
      <c r="N190" s="55" t="inlineStr">
        <is>
          <t>Revisar los colores con nombre y apellido</t>
        </is>
      </c>
      <c r="O190" s="46" t="inlineStr">
        <is>
          <t>El cliente pidió ECO-136 y aunque la numeración está bien, se escribió mal el nombre, entonces se envió ECO-38 gris claro jaspeado</t>
        </is>
      </c>
      <c r="P190" s="101" t="n">
        <v>1197</v>
      </c>
      <c r="Q190" s="102" t="n"/>
      <c r="R190" s="102" t="n"/>
      <c r="S190" s="55" t="e">
        <v>#REF!</v>
      </c>
    </row>
    <row r="191" ht="30" customHeight="1">
      <c r="A191" s="50" t="inlineStr">
        <is>
          <t>CP189</t>
        </is>
      </c>
      <c r="B191" s="50" t="inlineStr">
        <is>
          <t>CERRADA</t>
        </is>
      </c>
      <c r="C191" s="51" t="n"/>
      <c r="D191" s="52" t="n"/>
      <c r="E191" s="53" t="n">
        <v>45531</v>
      </c>
      <c r="F191" s="52" t="n">
        <v>3474</v>
      </c>
      <c r="G191" s="50" t="inlineStr">
        <is>
          <t>REP-CO 3474. 00. ADEYAKA ECOWALL IPLAN CAT</t>
        </is>
      </c>
      <c r="H191" s="50" t="inlineStr">
        <is>
          <t>ADEYAKA</t>
        </is>
      </c>
      <c r="I191" s="50" t="inlineStr">
        <is>
          <t>Manel</t>
        </is>
      </c>
      <c r="J191" s="50" t="inlineStr">
        <is>
          <t>Angela</t>
        </is>
      </c>
      <c r="K191" s="50" t="inlineStr">
        <is>
          <t>Defecto Materia Prima</t>
        </is>
      </c>
      <c r="L191" s="50" t="e">
        <v>#REF!</v>
      </c>
      <c r="M191" s="54" t="inlineStr">
        <is>
          <t>Reposicion al cliente</t>
        </is>
      </c>
      <c r="N191" s="50" t="inlineStr">
        <is>
          <t>revisar orden de material</t>
        </is>
      </c>
      <c r="O191" s="47" t="inlineStr">
        <is>
          <t xml:space="preserve">El cliente pidió una primera reposición (que se cobró envio) de una pieza que habían dañado.cuando se repone y se indica en trello que sea de la misma orden, el color no coincide. </t>
        </is>
      </c>
      <c r="P191" s="98" t="n">
        <v>242</v>
      </c>
      <c r="Q191" s="99" t="n"/>
      <c r="R191" s="99" t="n"/>
      <c r="S191" s="50" t="e">
        <v>#REF!</v>
      </c>
    </row>
    <row r="192" ht="60" customHeight="1">
      <c r="A192" s="55" t="inlineStr">
        <is>
          <t>CP190</t>
        </is>
      </c>
      <c r="B192" s="55" t="inlineStr">
        <is>
          <t>CERRADA</t>
        </is>
      </c>
      <c r="C192" s="56" t="n"/>
      <c r="E192" s="58" t="n">
        <v>45531</v>
      </c>
      <c r="F192" s="57" t="n">
        <v>4551</v>
      </c>
      <c r="G192" s="55" t="inlineStr">
        <is>
          <t>REP-DC 4551. 00. INSTALDECO AMP PED 4492  GLOVO CAT</t>
        </is>
      </c>
      <c r="H192" s="55" t="inlineStr">
        <is>
          <t>INSTALDECO</t>
        </is>
      </c>
      <c r="I192" s="55" t="inlineStr">
        <is>
          <t>MANEL</t>
        </is>
      </c>
      <c r="J192" s="55" t="inlineStr">
        <is>
          <t>Angela</t>
        </is>
      </c>
      <c r="K192" s="55" t="inlineStr">
        <is>
          <t>Defecto por cliente</t>
        </is>
      </c>
      <c r="L192" s="55" t="e">
        <v>#REF!</v>
      </c>
      <c r="M192" s="59" t="inlineStr">
        <is>
          <t>Reposicion al cliente</t>
        </is>
      </c>
      <c r="N192" s="55" t="inlineStr">
        <is>
          <t>Enviar 3 ud paneles para curvar descuento 60% dto Ppto5189</t>
        </is>
      </c>
      <c r="O192" s="46" t="inlineStr">
        <is>
          <t xml:space="preserve">Pagan al 60% por asumir parte del error. Error cliente y parte técnico. Se habla con cliente de cómo quieren material. Lo especifican mal  en plano y se entiende por dibujo  que se va a instalar de una forma, y cuando lo recibe el instalador lo quieren hacer en sentido contrario por lo que el bisel para curvar se tiene que hacer perpendicular. </t>
        </is>
      </c>
      <c r="P192" s="101" t="n">
        <v>0</v>
      </c>
      <c r="Q192" s="102" t="n"/>
      <c r="R192" s="102" t="n"/>
      <c r="S192" s="55" t="e">
        <v>#REF!</v>
      </c>
    </row>
    <row r="193" ht="30" customHeight="1">
      <c r="A193" s="50" t="inlineStr">
        <is>
          <t>CP191</t>
        </is>
      </c>
      <c r="B193" s="50" t="inlineStr">
        <is>
          <t>CERRADA</t>
        </is>
      </c>
      <c r="C193" s="51" t="n"/>
      <c r="D193" s="52" t="n"/>
      <c r="E193" s="53" t="n">
        <v>45532</v>
      </c>
      <c r="F193" s="52" t="n">
        <v>3636</v>
      </c>
      <c r="G193" s="50" t="inlineStr">
        <is>
          <t>REP-ERT 3636. 00. SERINAC 7270 GRUPO PLAN ILUNION ATRIUM MAD</t>
        </is>
      </c>
      <c r="H193" s="50" t="n"/>
      <c r="I193" s="50" t="inlineStr">
        <is>
          <t>Juanjo</t>
        </is>
      </c>
      <c r="J193" s="50" t="inlineStr">
        <is>
          <t>Emilio</t>
        </is>
      </c>
      <c r="K193" s="50" t="inlineStr">
        <is>
          <t>Error técnico</t>
        </is>
      </c>
      <c r="L193" s="50" t="e">
        <v>#REF!</v>
      </c>
      <c r="M193" s="54" t="inlineStr">
        <is>
          <t>Reposicion al cliente</t>
        </is>
      </c>
      <c r="N193" s="50" t="inlineStr">
        <is>
          <t>Enviar las 6 piezas que faltan para completar pared</t>
        </is>
      </c>
      <c r="O193" s="47" t="inlineStr">
        <is>
          <t>Error de despiece de paneles para completar la pared, faltan 4 piezas. Revisar bien los despieces antes de mandar a corte.</t>
        </is>
      </c>
      <c r="P193" s="98" t="n">
        <v>365</v>
      </c>
      <c r="Q193" s="99" t="n"/>
      <c r="R193" s="99" t="n"/>
      <c r="S193" s="50" t="e">
        <v>#REF!</v>
      </c>
    </row>
    <row r="194" ht="30" customHeight="1">
      <c r="A194" s="55" t="inlineStr">
        <is>
          <t>CP192</t>
        </is>
      </c>
      <c r="B194" s="55" t="inlineStr">
        <is>
          <t>CERRADA</t>
        </is>
      </c>
      <c r="C194" s="56" t="n"/>
      <c r="E194" s="58" t="n">
        <v>45532</v>
      </c>
      <c r="F194" s="57" t="n">
        <v>2825</v>
      </c>
      <c r="G194" s="55" t="inlineStr">
        <is>
          <t>REP-ERF 2825. 01. AMPL UBICCA ATRIO Y CANTINA BWM MADRID MAD</t>
        </is>
      </c>
      <c r="H194" s="55" t="inlineStr">
        <is>
          <t>UBICCA</t>
        </is>
      </c>
      <c r="I194" s="55" t="inlineStr">
        <is>
          <t>Jorge Rubio</t>
        </is>
      </c>
      <c r="J194" s="55" t="inlineStr">
        <is>
          <t>Emilio</t>
        </is>
      </c>
      <c r="K194" s="55" t="inlineStr">
        <is>
          <t>Fabricación</t>
        </is>
      </c>
      <c r="L194" s="55" t="e">
        <v>#REF!</v>
      </c>
      <c r="M194" s="59" t="inlineStr">
        <is>
          <t>Reposicion al cliente</t>
        </is>
      </c>
      <c r="N194" s="55" t="inlineStr">
        <is>
          <t xml:space="preserve">Reposicion de 2 piezas 1600*600 </t>
        </is>
      </c>
      <c r="O194" s="46" t="inlineStr">
        <is>
          <t>Los paneles se enviaron en Gris en lugar de Rojo por confusión en fábrica</t>
        </is>
      </c>
      <c r="P194" s="101">
        <f>380*0.55*1</f>
        <v/>
      </c>
      <c r="Q194" s="102" t="n"/>
      <c r="R194" s="102" t="n"/>
      <c r="S194" s="55" t="e">
        <v>#REF!</v>
      </c>
    </row>
    <row r="195" ht="30" customHeight="1">
      <c r="A195" s="50" t="inlineStr">
        <is>
          <t>CP193</t>
        </is>
      </c>
      <c r="B195" s="50" t="inlineStr">
        <is>
          <t>CERRADA</t>
        </is>
      </c>
      <c r="C195" s="51" t="n"/>
      <c r="D195" s="52" t="n"/>
      <c r="E195" s="53" t="n">
        <v>45532</v>
      </c>
      <c r="F195" s="52" t="n">
        <v>1848</v>
      </c>
      <c r="G195" s="50" t="inlineStr">
        <is>
          <t>REP-ERF 1848. 00. ROVEL SALON VVDA UNIFAMILIAR ECONORDIK PGC</t>
        </is>
      </c>
      <c r="H195" s="50" t="inlineStr">
        <is>
          <t>ROVEL</t>
        </is>
      </c>
      <c r="I195" s="50" t="inlineStr">
        <is>
          <t>Iker</t>
        </is>
      </c>
      <c r="J195" s="50" t="inlineStr">
        <is>
          <t>Rashli</t>
        </is>
      </c>
      <c r="K195" s="50" t="inlineStr">
        <is>
          <t>Fabricación</t>
        </is>
      </c>
      <c r="L195" s="50" t="e">
        <v>#REF!</v>
      </c>
      <c r="M195" s="54" t="inlineStr">
        <is>
          <t>Reposicion al cliente</t>
        </is>
      </c>
      <c r="N195" s="50" t="inlineStr">
        <is>
          <t>Reposición del pedido completo</t>
        </is>
      </c>
      <c r="O195" s="47" t="inlineStr">
        <is>
          <t>La primera lama de los ECOnordiks no está a la distancia correcta, por lo que al juntarlos no queda bien la secuencia</t>
        </is>
      </c>
      <c r="P195" s="98">
        <f>600+840</f>
        <v/>
      </c>
      <c r="Q195" s="99" t="n"/>
      <c r="R195" s="99" t="n"/>
      <c r="S195" s="50" t="e">
        <v>#REF!</v>
      </c>
    </row>
    <row r="196" ht="30" customHeight="1">
      <c r="A196" s="55" t="inlineStr">
        <is>
          <t>CP194</t>
        </is>
      </c>
      <c r="B196" s="55" t="inlineStr">
        <is>
          <t>CERRADA</t>
        </is>
      </c>
      <c r="C196" s="56" t="n"/>
      <c r="E196" s="58" t="n">
        <v>45532</v>
      </c>
      <c r="F196" s="57" t="n">
        <v>4972</v>
      </c>
      <c r="G196" s="55" t="inlineStr">
        <is>
          <t>REP-ERT - 4972. 01. BPM PRESUPUESTO 240 4220 CV</t>
        </is>
      </c>
      <c r="H196" s="55" t="inlineStr">
        <is>
          <t>BPM</t>
        </is>
      </c>
      <c r="I196" s="55" t="inlineStr">
        <is>
          <t>-</t>
        </is>
      </c>
      <c r="J196" s="55" t="inlineStr">
        <is>
          <t>Luis</t>
        </is>
      </c>
      <c r="K196" s="55" t="inlineStr">
        <is>
          <t>Error técnico</t>
        </is>
      </c>
      <c r="L196" s="55" t="e">
        <v>#REF!</v>
      </c>
      <c r="M196" s="59" t="inlineStr">
        <is>
          <t>Reposicion al cliente</t>
        </is>
      </c>
      <c r="N196" s="55" t="inlineStr">
        <is>
          <t>reposicion 2 paneles</t>
        </is>
      </c>
      <c r="O196" s="46" t="inlineStr">
        <is>
          <t xml:space="preserve">Reponer 2 ECObasic según despiece. Al copiar los archivos que nos pasaron a nuestra plantilla de corte, unas piezas se han hecho más pequeñas. </t>
        </is>
      </c>
      <c r="P196" s="101">
        <f>90*2</f>
        <v/>
      </c>
      <c r="Q196" s="102" t="n"/>
      <c r="R196" s="102" t="n"/>
      <c r="S196" s="55" t="e">
        <v>#REF!</v>
      </c>
    </row>
    <row r="197" ht="30" customHeight="1">
      <c r="A197" s="50" t="inlineStr">
        <is>
          <t>CP195</t>
        </is>
      </c>
      <c r="B197" s="50" t="inlineStr">
        <is>
          <t>CERRADA</t>
        </is>
      </c>
      <c r="C197" s="51" t="n"/>
      <c r="D197" s="52" t="n"/>
      <c r="E197" s="53" t="n">
        <v>45564</v>
      </c>
      <c r="F197" s="52" t="n">
        <v>5042</v>
      </c>
      <c r="G197" s="50" t="inlineStr">
        <is>
          <t>REP-ERF. 5042. 00. GREENAREA P86 PPTO 4937 P90 PPTO 2944CV</t>
        </is>
      </c>
      <c r="H197" s="50" t="inlineStr">
        <is>
          <t>GREENAREA</t>
        </is>
      </c>
      <c r="I197" s="50" t="inlineStr">
        <is>
          <t>-</t>
        </is>
      </c>
      <c r="J197" s="50" t="inlineStr">
        <is>
          <t>Luis</t>
        </is>
      </c>
      <c r="K197" s="50" t="inlineStr">
        <is>
          <t>Fabricación</t>
        </is>
      </c>
      <c r="L197" s="50" t="e">
        <v>#REF!</v>
      </c>
      <c r="M197" s="54" t="inlineStr">
        <is>
          <t>Reposicion al cliente</t>
        </is>
      </c>
      <c r="N197" s="50" t="inlineStr">
        <is>
          <t>Reposicón de 3 paneles</t>
        </is>
      </c>
      <c r="O197" s="47" t="inlineStr">
        <is>
          <t>Reponer 3 Paneles de 12mm corte no pasante 1 ha pasado del todo, reponer</t>
        </is>
      </c>
      <c r="P197" s="98">
        <f>110*3</f>
        <v/>
      </c>
      <c r="Q197" s="99" t="n"/>
      <c r="R197" s="99" t="n"/>
      <c r="S197" s="50" t="e">
        <v>#REF!</v>
      </c>
    </row>
    <row r="198" ht="30" customHeight="1">
      <c r="A198" s="55" t="inlineStr">
        <is>
          <t>CP196</t>
        </is>
      </c>
      <c r="B198" s="55" t="inlineStr">
        <is>
          <t>CERRADA</t>
        </is>
      </c>
      <c r="C198" s="56" t="n"/>
      <c r="E198" s="58" t="n">
        <v>45533</v>
      </c>
      <c r="F198" s="57" t="n">
        <v>4946</v>
      </c>
      <c r="G198" s="55" t="inlineStr">
        <is>
          <t>REP-IT 4946. 00. TRAMA GAMA ACUSTIC FOAM BASIC</t>
        </is>
      </c>
      <c r="H198" s="55" t="inlineStr">
        <is>
          <t>TRAMA</t>
        </is>
      </c>
      <c r="I198" s="55" t="inlineStr">
        <is>
          <t>Israel</t>
        </is>
      </c>
      <c r="J198" s="55" t="inlineStr">
        <is>
          <t>Emilio</t>
        </is>
      </c>
      <c r="K198" s="55" t="inlineStr">
        <is>
          <t>Transporte</t>
        </is>
      </c>
      <c r="L198" s="55" t="e">
        <v>#REF!</v>
      </c>
      <c r="M198" s="59" t="inlineStr">
        <is>
          <t>Reposicion al cliente</t>
        </is>
      </c>
      <c r="N198" s="55" t="inlineStr">
        <is>
          <t>Reposicion de 3 basic regular perla 1180*1180mm</t>
        </is>
      </c>
      <c r="O198" s="46" t="inlineStr">
        <is>
          <t>Reponer 3 paneles. Piezas con golpes y bocados. Muy mal manipulados. El embalaje llegó bien, los panesles no dentro de la caja, además, eran los del centro de la caja.</t>
        </is>
      </c>
      <c r="P198" s="101" t="n">
        <v>96</v>
      </c>
      <c r="Q198" s="102" t="n"/>
      <c r="R198" s="102" t="n"/>
      <c r="S198" s="55" t="e">
        <v>#REF!</v>
      </c>
    </row>
    <row r="199" ht="30" customHeight="1">
      <c r="A199" s="50" t="inlineStr">
        <is>
          <t>CP197</t>
        </is>
      </c>
      <c r="B199" s="50" t="inlineStr">
        <is>
          <t>CERRADA</t>
        </is>
      </c>
      <c r="C199" s="51" t="n"/>
      <c r="D199" s="52" t="n"/>
      <c r="E199" s="53" t="n">
        <v>45538</v>
      </c>
      <c r="F199" s="52" t="n">
        <v>3282</v>
      </c>
      <c r="G199" s="50" t="inlineStr">
        <is>
          <t>REP-IT 3282. 00. RCL ECOBASIC P.2024.01.91-1 CAT</t>
        </is>
      </c>
      <c r="H199" s="50" t="inlineStr">
        <is>
          <t>RCL</t>
        </is>
      </c>
      <c r="I199" s="50" t="inlineStr">
        <is>
          <t>MANEL</t>
        </is>
      </c>
      <c r="J199" s="50" t="inlineStr">
        <is>
          <t>Angela</t>
        </is>
      </c>
      <c r="K199" s="50" t="inlineStr">
        <is>
          <t>Transporte</t>
        </is>
      </c>
      <c r="L199" s="50" t="e">
        <v>#REF!</v>
      </c>
      <c r="M199" s="54" t="inlineStr">
        <is>
          <t>Reposicion al cliente</t>
        </is>
      </c>
      <c r="N199" s="50" t="inlineStr">
        <is>
          <t>ENVIAR DE NUEVO 2 PANELES 24 MM PINTADOS</t>
        </is>
      </c>
      <c r="O199" s="47" t="inlineStr">
        <is>
          <t>ES INCIDENCIA DE DE INCIDENCIA. En ambas reposiciones, la caja y el material viene dañado. Por transporte.</t>
        </is>
      </c>
      <c r="P199" s="98" t="inlineStr">
        <is>
          <t>643,4 €</t>
        </is>
      </c>
      <c r="Q199" s="99" t="n"/>
      <c r="R199" s="99" t="n"/>
      <c r="S199" s="50" t="e">
        <v>#REF!</v>
      </c>
    </row>
    <row r="200" ht="30" customHeight="1">
      <c r="A200" s="55" t="inlineStr">
        <is>
          <t>CP198</t>
        </is>
      </c>
      <c r="B200" s="55" t="inlineStr">
        <is>
          <t>CERRADA</t>
        </is>
      </c>
      <c r="C200" s="56" t="n"/>
      <c r="E200" s="58" t="n">
        <v>45539</v>
      </c>
      <c r="F200" s="57" t="n">
        <v>4934</v>
      </c>
      <c r="G200" s="55" t="inlineStr">
        <is>
          <t>REP-IT 4934. 00. OFICINA PARIS_CALAMP_VOLUME_FR</t>
        </is>
      </c>
      <c r="H200" s="55" t="inlineStr">
        <is>
          <t>CALAMP</t>
        </is>
      </c>
      <c r="I200" s="55" t="inlineStr">
        <is>
          <t>Virginia</t>
        </is>
      </c>
      <c r="J200" s="55" t="inlineStr">
        <is>
          <t>Rashli</t>
        </is>
      </c>
      <c r="K200" s="55" t="inlineStr">
        <is>
          <t>Transporte</t>
        </is>
      </c>
      <c r="L200" s="55" t="e">
        <v>#REF!</v>
      </c>
      <c r="M200" s="59" t="inlineStr">
        <is>
          <t>Reposicion al cliente</t>
        </is>
      </c>
      <c r="N200" s="55" t="inlineStr">
        <is>
          <t>Enviar un panel dañado extra</t>
        </is>
      </c>
      <c r="O200" s="46" t="inlineStr">
        <is>
          <t>Reponer 1 panel. El paquete le llegó destrozado al cliente, sin protecciones y desmontado</t>
        </is>
      </c>
      <c r="P200" s="101">
        <f>650*0.6</f>
        <v/>
      </c>
      <c r="Q200" s="102" t="n"/>
      <c r="R200" s="102" t="n"/>
      <c r="S200" s="55" t="e">
        <v>#REF!</v>
      </c>
    </row>
    <row r="201" ht="30" customHeight="1">
      <c r="A201" s="50" t="inlineStr">
        <is>
          <t>CP204</t>
        </is>
      </c>
      <c r="B201" s="50" t="inlineStr">
        <is>
          <t>CERRADA</t>
        </is>
      </c>
      <c r="C201" s="51" t="n"/>
      <c r="D201" s="52" t="n"/>
      <c r="E201" s="53" t="n">
        <v>45541</v>
      </c>
      <c r="F201" s="52" t="n">
        <v>5098</v>
      </c>
      <c r="G201" s="50" t="inlineStr">
        <is>
          <t>REP-IT. 5098. 00. BELIOS PANEL OBRA SALA AUDIO MC AND</t>
        </is>
      </c>
      <c r="H201" s="50" t="inlineStr">
        <is>
          <t>BELIOS</t>
        </is>
      </c>
      <c r="I201" s="50" t="inlineStr">
        <is>
          <t>-</t>
        </is>
      </c>
      <c r="J201" s="50" t="inlineStr">
        <is>
          <t>Luis</t>
        </is>
      </c>
      <c r="K201" s="50" t="inlineStr">
        <is>
          <t>Transporte</t>
        </is>
      </c>
      <c r="L201" s="50" t="e">
        <v>#REF!</v>
      </c>
      <c r="M201" s="54" t="inlineStr">
        <is>
          <t>Reposicion al cliente</t>
        </is>
      </c>
      <c r="N201" s="50" t="inlineStr">
        <is>
          <t>Enviar 3 paneles dañados</t>
        </is>
      </c>
      <c r="O201" s="47" t="inlineStr">
        <is>
          <t xml:space="preserve">Reponer 3ECObasic 9mm. Paneles dañados por transporte. </t>
        </is>
      </c>
      <c r="P201" s="98">
        <f>260*3*0.5</f>
        <v/>
      </c>
      <c r="Q201" s="99" t="n"/>
      <c r="R201" s="99" t="n"/>
      <c r="S201" s="50" t="e">
        <v>#REF!</v>
      </c>
    </row>
    <row r="202" ht="30" customHeight="1">
      <c r="A202" s="55" t="inlineStr">
        <is>
          <t>CP205</t>
        </is>
      </c>
      <c r="B202" s="55" t="inlineStr">
        <is>
          <t>CERRADA</t>
        </is>
      </c>
      <c r="C202" s="56" t="n"/>
      <c r="E202" s="58" t="n">
        <v>45544</v>
      </c>
      <c r="F202" s="57" t="n">
        <v>5142</v>
      </c>
      <c r="G202" s="55" t="inlineStr">
        <is>
          <t>REP-IT 5142. 00. TEOPSA BASIC 1180 COLOR MAD</t>
        </is>
      </c>
      <c r="H202" s="55" t="inlineStr">
        <is>
          <t>TEOPSA</t>
        </is>
      </c>
      <c r="I202" s="55" t="inlineStr">
        <is>
          <t>Jorge Rubio</t>
        </is>
      </c>
      <c r="J202" s="55" t="inlineStr">
        <is>
          <t>Mónica</t>
        </is>
      </c>
      <c r="K202" s="55" t="inlineStr">
        <is>
          <t>Transporte</t>
        </is>
      </c>
      <c r="L202" s="55" t="e">
        <v>#REF!</v>
      </c>
      <c r="M202" s="59" t="inlineStr">
        <is>
          <t>Reposición al cliente</t>
        </is>
      </c>
      <c r="N202" s="55" t="inlineStr">
        <is>
          <t>Enviar 1 panel dañado</t>
        </is>
      </c>
      <c r="O202" s="46" t="inlineStr">
        <is>
          <t>Un panel foam 1180x1180 se dañó en el transporte</t>
        </is>
      </c>
      <c r="P202" s="101" t="n">
        <v>66.59999999999999</v>
      </c>
      <c r="Q202" s="102" t="n"/>
      <c r="R202" s="102" t="n"/>
      <c r="S202" s="55" t="e">
        <v>#REF!</v>
      </c>
    </row>
    <row r="203" ht="30" customHeight="1">
      <c r="A203" s="50" t="inlineStr">
        <is>
          <t>CP206</t>
        </is>
      </c>
      <c r="B203" s="50" t="inlineStr">
        <is>
          <t>CERRADA</t>
        </is>
      </c>
      <c r="C203" s="51" t="n"/>
      <c r="D203" s="52" t="n"/>
      <c r="E203" s="53" t="n">
        <v>45544</v>
      </c>
      <c r="F203" s="52" t="n">
        <v>5025</v>
      </c>
      <c r="G203" s="50" t="inlineStr">
        <is>
          <t>REP-ERT 5025. 00. SERINAC 7274 ILUNION ATRIUM TECHOS SALONES MAD</t>
        </is>
      </c>
      <c r="H203" s="50" t="inlineStr">
        <is>
          <t>ILUNION</t>
        </is>
      </c>
      <c r="I203" s="50" t="inlineStr">
        <is>
          <t>Juanjo</t>
        </is>
      </c>
      <c r="J203" s="50" t="inlineStr">
        <is>
          <t>Emilio</t>
        </is>
      </c>
      <c r="K203" s="50" t="inlineStr">
        <is>
          <t>Error técnico</t>
        </is>
      </c>
      <c r="L203" s="50" t="e">
        <v>#REF!</v>
      </c>
      <c r="M203" s="54" t="inlineStr">
        <is>
          <t>Reposición al cliente</t>
        </is>
      </c>
      <c r="N203" s="50" t="inlineStr">
        <is>
          <t>Reposición de 100 unidades de anclaje B</t>
        </is>
      </c>
      <c r="O203" s="47" t="inlineStr">
        <is>
          <t>Trello sin anclajes, sertebra pudo instalar con unidades suyas por lo que reponemos a Sertebra. REVISAR TRELLO ANTES DE LANZARLO, envio a Sertebra junto con pedido existente</t>
        </is>
      </c>
      <c r="P203" s="98" t="n">
        <v>0</v>
      </c>
      <c r="Q203" s="99" t="n"/>
      <c r="R203" s="99" t="n"/>
      <c r="S203" s="50" t="e">
        <v>#REF!</v>
      </c>
    </row>
    <row r="204" ht="30" customHeight="1">
      <c r="A204" s="55" t="inlineStr">
        <is>
          <t>CP207</t>
        </is>
      </c>
      <c r="B204" s="55" t="inlineStr">
        <is>
          <t>CERRADA</t>
        </is>
      </c>
      <c r="C204" s="56" t="n"/>
      <c r="E204" s="58" t="n">
        <v>45544</v>
      </c>
      <c r="F204" s="57" t="n">
        <v>5007</v>
      </c>
      <c r="G204" s="55" t="inlineStr">
        <is>
          <t>REP-ERT 5007. 00. SERINAC 7277 ILUNION TORRE 30 SALONES DE FORMACIÓN</t>
        </is>
      </c>
      <c r="H204" s="55" t="inlineStr">
        <is>
          <t>ILUNION</t>
        </is>
      </c>
      <c r="I204" s="55" t="inlineStr">
        <is>
          <t>Juanjo</t>
        </is>
      </c>
      <c r="J204" s="55" t="inlineStr">
        <is>
          <t>Emilio</t>
        </is>
      </c>
      <c r="K204" s="55" t="inlineStr">
        <is>
          <t>Error técnico</t>
        </is>
      </c>
      <c r="L204" s="55" t="e">
        <v>#REF!</v>
      </c>
      <c r="M204" s="59" t="inlineStr">
        <is>
          <t>Reposición al cliente</t>
        </is>
      </c>
      <c r="N204" s="55" t="inlineStr">
        <is>
          <t xml:space="preserve">Reposición de 75 tiras de 4.2 cm </t>
        </is>
      </c>
      <c r="O204" s="46" t="inlineStr">
        <is>
          <t>Fallo en la elección de las costillas del code. Se utilizó la v3 que descuelga 5cm, como el techo no esta cubierto al 100% con code se deja ver el fondo del techo por los huecos de 5cm</t>
        </is>
      </c>
      <c r="P204" s="101" t="n">
        <v>657</v>
      </c>
      <c r="Q204" s="102" t="n"/>
      <c r="R204" s="102" t="n"/>
      <c r="S204" s="55" t="e">
        <v>#REF!</v>
      </c>
    </row>
    <row r="205" ht="30" customHeight="1">
      <c r="A205" s="50" t="inlineStr">
        <is>
          <t>CP208</t>
        </is>
      </c>
      <c r="B205" s="50" t="inlineStr">
        <is>
          <t>CERRADA</t>
        </is>
      </c>
      <c r="C205" s="51" t="n"/>
      <c r="D205" s="52" t="n"/>
      <c r="E205" s="53" t="n">
        <v>45544</v>
      </c>
      <c r="F205" s="52" t="n">
        <v>4676</v>
      </c>
      <c r="G205" s="50" t="inlineStr">
        <is>
          <t>REP-IT. 4676. 00. OFICINES MOBILIARI BAFFLE FOAM CV</t>
        </is>
      </c>
      <c r="H205" s="50" t="inlineStr">
        <is>
          <t>Oficines Mobiliari</t>
        </is>
      </c>
      <c r="I205" s="50" t="inlineStr">
        <is>
          <t>Javier Hernendez</t>
        </is>
      </c>
      <c r="J205" s="50" t="inlineStr">
        <is>
          <t>Luis</t>
        </is>
      </c>
      <c r="K205" s="50" t="inlineStr">
        <is>
          <t>Transporte</t>
        </is>
      </c>
      <c r="L205" s="50" t="e">
        <v>#REF!</v>
      </c>
      <c r="M205" s="54" t="inlineStr">
        <is>
          <t>Reposicion al cliente</t>
        </is>
      </c>
      <c r="N205" s="50" t="inlineStr">
        <is>
          <t>Reposicion de 30 uniaddes</t>
        </is>
      </c>
      <c r="O205" s="47" t="inlineStr">
        <is>
          <t>Reposición 30ud baffle con esquina aplastada por transporte. Las cajas están redondeadas en las esquinas</t>
        </is>
      </c>
      <c r="P205" s="98">
        <f>1236</f>
        <v/>
      </c>
      <c r="Q205" s="99" t="n"/>
      <c r="R205" s="99" t="n"/>
      <c r="S205" s="50" t="e">
        <v>#REF!</v>
      </c>
    </row>
    <row r="206" ht="30" customHeight="1">
      <c r="A206" s="55" t="inlineStr">
        <is>
          <t>CP209</t>
        </is>
      </c>
      <c r="B206" s="55" t="inlineStr">
        <is>
          <t>CERRADA</t>
        </is>
      </c>
      <c r="C206" s="56" t="n"/>
      <c r="E206" s="58" t="n">
        <v>45545</v>
      </c>
      <c r="F206" s="57" t="n">
        <v>3610</v>
      </c>
      <c r="G206" s="55" t="inlineStr">
        <is>
          <t>REP-FP2. 3610. 00. OLE LIGHTING ECOBASIC PANEL 12MM CV</t>
        </is>
      </c>
      <c r="H206" s="55" t="inlineStr">
        <is>
          <t>OLE LIGHTING</t>
        </is>
      </c>
      <c r="I206" s="55" t="inlineStr">
        <is>
          <t>-</t>
        </is>
      </c>
      <c r="J206" s="55" t="inlineStr">
        <is>
          <t>Miguel Angel</t>
        </is>
      </c>
      <c r="K206" s="55" t="inlineStr">
        <is>
          <t>Fabricación</t>
        </is>
      </c>
      <c r="L206" s="55" t="e">
        <v>#REF!</v>
      </c>
      <c r="M206" s="59" t="inlineStr">
        <is>
          <t>Reposicion al cliente</t>
        </is>
      </c>
      <c r="N206" s="55" t="inlineStr">
        <is>
          <t>Reposición 12ud panel con corte biselado mal</t>
        </is>
      </c>
      <c r="O206" s="46" t="inlineStr">
        <is>
          <t>Reposición 12ud panel con bisel irregular, los biseles centrales de cada luminaria formaban pirámides irregulares</t>
        </is>
      </c>
      <c r="P206" s="101" t="n">
        <v>1260</v>
      </c>
      <c r="Q206" s="102" t="n"/>
      <c r="R206" s="102" t="n"/>
      <c r="S206" s="55" t="e">
        <v>#REF!</v>
      </c>
    </row>
    <row r="207">
      <c r="A207" s="50" t="inlineStr">
        <is>
          <t>CP210</t>
        </is>
      </c>
      <c r="B207" s="50" t="inlineStr">
        <is>
          <t>CERRADA</t>
        </is>
      </c>
      <c r="C207" s="51" t="n"/>
      <c r="D207" s="52" t="n"/>
      <c r="E207" s="53" t="n">
        <v>45546</v>
      </c>
      <c r="F207" s="52" t="n">
        <v>5055</v>
      </c>
      <c r="G207" s="50" t="inlineStr">
        <is>
          <t>REP-FC 5055. 00. MAIA ZUATZU ECONODRIK PV</t>
        </is>
      </c>
      <c r="H207" s="50" t="inlineStr">
        <is>
          <t>MAIA</t>
        </is>
      </c>
      <c r="I207" s="50" t="inlineStr">
        <is>
          <t>Jon Rioboo</t>
        </is>
      </c>
      <c r="J207" s="50" t="inlineStr">
        <is>
          <t>Mónica</t>
        </is>
      </c>
      <c r="K207" s="50" t="inlineStr">
        <is>
          <t>Falta Componentes</t>
        </is>
      </c>
      <c r="L207" s="50" t="e">
        <v>#REF!</v>
      </c>
      <c r="M207" s="54" t="inlineStr">
        <is>
          <t>Reposición al cliente</t>
        </is>
      </c>
      <c r="N207" s="50" t="inlineStr">
        <is>
          <t>Reposición 4 botes turbo</t>
        </is>
      </c>
      <c r="O207" s="47" t="inlineStr">
        <is>
          <t>Enviamos 4 no turbo en el pedido anterior y volvimos a olvidarlas en este.</t>
        </is>
      </c>
      <c r="P207" s="98">
        <f>0.55*14*4</f>
        <v/>
      </c>
      <c r="Q207" s="99" t="n"/>
      <c r="R207" s="99" t="n"/>
      <c r="S207" s="50" t="e">
        <v>#REF!</v>
      </c>
    </row>
    <row r="208">
      <c r="A208" s="55" t="inlineStr">
        <is>
          <t>CP211</t>
        </is>
      </c>
      <c r="B208" s="55" t="inlineStr">
        <is>
          <t>CERRADA</t>
        </is>
      </c>
      <c r="C208" s="56" t="n"/>
      <c r="E208" s="58" t="n">
        <v>45547</v>
      </c>
      <c r="F208" s="57" t="n">
        <v>4870</v>
      </c>
      <c r="G208" s="55" t="inlineStr">
        <is>
          <t>REP-MP 4870. 00. BRISSA CLOUD AND</t>
        </is>
      </c>
      <c r="H208" s="55" t="inlineStr">
        <is>
          <t>BRISSA INTERIORES</t>
        </is>
      </c>
      <c r="I208" s="55" t="inlineStr">
        <is>
          <t>Jorge Blanco</t>
        </is>
      </c>
      <c r="J208" s="55" t="inlineStr">
        <is>
          <t>Rashli</t>
        </is>
      </c>
      <c r="K208" s="55" t="inlineStr">
        <is>
          <t>Defecto Materia Prima</t>
        </is>
      </c>
      <c r="L208" s="55" t="e">
        <v>#REF!</v>
      </c>
      <c r="M208" s="59" t="inlineStr">
        <is>
          <t>Reposición al cliente</t>
        </is>
      </c>
      <c r="N208" s="55" t="inlineStr">
        <is>
          <t>Reposición de una isla D1170mm en ECO-108</t>
        </is>
      </c>
      <c r="O208" s="46" t="inlineStr">
        <is>
          <t>Una de las islas les llegó con una mancha</t>
        </is>
      </c>
      <c r="P208" s="101" t="n">
        <v>160</v>
      </c>
      <c r="Q208" s="102" t="n"/>
      <c r="R208" s="102" t="n"/>
      <c r="S208" s="55" t="e">
        <v>#REF!</v>
      </c>
    </row>
    <row r="209" ht="30" customHeight="1">
      <c r="A209" s="50" t="inlineStr">
        <is>
          <t>CP212</t>
        </is>
      </c>
      <c r="B209" s="50" t="inlineStr">
        <is>
          <t>CERRADA</t>
        </is>
      </c>
      <c r="C209" s="51" t="n"/>
      <c r="D209" s="52" t="n"/>
      <c r="E209" s="53" t="n">
        <v>45547</v>
      </c>
      <c r="F209" s="52" t="n">
        <v>3279</v>
      </c>
      <c r="G209" s="50" t="inlineStr">
        <is>
          <t>REP - ERT. 3279. 04. ESCRITÓRIOS FIDELIDADE_BOAVISTA_HORACIO COSTA</t>
        </is>
      </c>
      <c r="H209" s="50" t="inlineStr">
        <is>
          <t>HORACIO COSTA</t>
        </is>
      </c>
      <c r="I209" s="50" t="inlineStr">
        <is>
          <t>Paulo</t>
        </is>
      </c>
      <c r="J209" s="50" t="inlineStr">
        <is>
          <t>Luis</t>
        </is>
      </c>
      <c r="K209" s="50" t="inlineStr">
        <is>
          <t>Error técnico</t>
        </is>
      </c>
      <c r="L209" s="50" t="e">
        <v>#REF!</v>
      </c>
      <c r="M209" s="54" t="inlineStr">
        <is>
          <t>Reposicion al cliente</t>
        </is>
      </c>
      <c r="N209" s="50" t="inlineStr">
        <is>
          <t>Reponer los bafles centrales de los conjuntos ya enviados</t>
        </is>
      </c>
      <c r="O209" s="47" t="inlineStr">
        <is>
          <t>Se les envió diseño para que lo aprobaran. Lo aprobaron pero no se había tenido en cuenta la continuidad de los bafles.</t>
        </is>
      </c>
      <c r="P209" s="98" t="n"/>
      <c r="Q209" s="99" t="n"/>
      <c r="R209" s="99" t="n"/>
      <c r="S209" s="50" t="e">
        <v>#REF!</v>
      </c>
    </row>
    <row r="210" ht="30" customHeight="1">
      <c r="A210" s="55" t="inlineStr">
        <is>
          <t>CP213</t>
        </is>
      </c>
      <c r="B210" s="55" t="inlineStr">
        <is>
          <t>CERRADA</t>
        </is>
      </c>
      <c r="C210" s="56" t="n"/>
      <c r="E210" s="58" t="n">
        <v>45547</v>
      </c>
      <c r="F210" s="57" t="n">
        <v>4787</v>
      </c>
      <c r="G210" s="55" t="inlineStr">
        <is>
          <t>REP-ERF.4787. 00. RCL PEDIDO 2023 01 111 CAT</t>
        </is>
      </c>
      <c r="H210" s="55" t="inlineStr">
        <is>
          <t>RCL</t>
        </is>
      </c>
      <c r="I210" s="55" t="inlineStr">
        <is>
          <t>manel</t>
        </is>
      </c>
      <c r="J210" s="55" t="inlineStr">
        <is>
          <t>Angela</t>
        </is>
      </c>
      <c r="K210" s="55" t="inlineStr">
        <is>
          <t>Fabricación</t>
        </is>
      </c>
      <c r="L210" s="55" t="e">
        <v>#REF!</v>
      </c>
      <c r="M210" s="59" t="inlineStr">
        <is>
          <t>Reposicion al cliente</t>
        </is>
      </c>
      <c r="N210" s="55" t="inlineStr">
        <is>
          <t xml:space="preserve">Recoger pedido a cliente, montar piezas y volver a enviar. </t>
        </is>
      </c>
      <c r="O210" s="46" t="inlineStr">
        <is>
          <t>Se le han enviado 4 packs de STRATA SIN MONTAR.  COSTE DE MATERIAL 0, SOLO HAY COSTE DE TRANSPORTE</t>
        </is>
      </c>
      <c r="P210" s="101" t="inlineStr">
        <is>
          <t>73.72€</t>
        </is>
      </c>
      <c r="Q210" s="102" t="n"/>
      <c r="R210" s="102" t="n"/>
      <c r="S210" s="55" t="e">
        <v>#REF!</v>
      </c>
    </row>
    <row r="211" ht="30" customHeight="1">
      <c r="A211" s="50" t="inlineStr">
        <is>
          <t>CP214</t>
        </is>
      </c>
      <c r="B211" s="50" t="inlineStr">
        <is>
          <t>CERRADA</t>
        </is>
      </c>
      <c r="C211" s="51" t="n"/>
      <c r="D211" s="52" t="n"/>
      <c r="E211" s="53" t="n">
        <v>45551</v>
      </c>
      <c r="F211" s="52" t="n">
        <v>4168</v>
      </c>
      <c r="G211" s="50" t="inlineStr">
        <is>
          <t>REP-ERT 4168. 02. PLUG&amp;GO MIELE ACUSTICOS 1 MAD</t>
        </is>
      </c>
      <c r="H211" s="50" t="inlineStr">
        <is>
          <t>PLUG&amp;GO</t>
        </is>
      </c>
      <c r="I211" s="50" t="inlineStr">
        <is>
          <t>Ricardo de Juan</t>
        </is>
      </c>
      <c r="J211" s="50" t="inlineStr">
        <is>
          <t>Diego</t>
        </is>
      </c>
      <c r="K211" s="50" t="inlineStr">
        <is>
          <t>Error técnico</t>
        </is>
      </c>
      <c r="L211" s="50" t="e">
        <v>#REF!</v>
      </c>
      <c r="M211" s="54" t="inlineStr">
        <is>
          <t>Reposicion al cliente</t>
        </is>
      </c>
      <c r="N211" s="50" t="inlineStr">
        <is>
          <t>Enviar los anclajes que faltaron</t>
        </is>
      </c>
      <c r="O211" s="47" t="inlineStr">
        <is>
          <t>Faltaron por enviar los anclajes con imán</t>
        </is>
      </c>
      <c r="P211" s="98" t="n"/>
      <c r="Q211" s="99" t="n"/>
      <c r="R211" s="99" t="n"/>
      <c r="S211" s="50" t="e">
        <v>#REF!</v>
      </c>
    </row>
    <row r="212" ht="30" customHeight="1">
      <c r="A212" s="55" t="inlineStr">
        <is>
          <t>CP215</t>
        </is>
      </c>
      <c r="B212" s="55" t="inlineStr">
        <is>
          <t>CERRADA</t>
        </is>
      </c>
      <c r="C212" s="56" t="n"/>
      <c r="E212" s="58" t="n">
        <v>45552</v>
      </c>
      <c r="F212" s="57" t="n">
        <v>4915</v>
      </c>
      <c r="G212" s="55" t="inlineStr">
        <is>
          <t>REP-IT. 4915. 00. ATRI RAW PANEL FASE 4 CAT</t>
        </is>
      </c>
      <c r="H212" s="55" t="inlineStr">
        <is>
          <t>ATRI</t>
        </is>
      </c>
      <c r="I212" s="55" t="inlineStr">
        <is>
          <t>manel</t>
        </is>
      </c>
      <c r="J212" s="55" t="inlineStr">
        <is>
          <t>Angela</t>
        </is>
      </c>
      <c r="K212" s="55" t="inlineStr">
        <is>
          <t>Transporte</t>
        </is>
      </c>
      <c r="L212" s="55" t="e">
        <v>#REF!</v>
      </c>
      <c r="M212" s="59" t="inlineStr">
        <is>
          <t xml:space="preserve">Reposicion al cliente </t>
        </is>
      </c>
      <c r="N212" s="55" t="inlineStr">
        <is>
          <t>Enviar de nuevo 3 RAW PANEL y recoger los 3 dañados</t>
        </is>
      </c>
      <c r="O212" s="46" t="inlineStr">
        <is>
          <t xml:space="preserve">vienen los paneles dañados. </t>
        </is>
      </c>
      <c r="P212" s="101" t="n">
        <v>429</v>
      </c>
      <c r="Q212" s="102" t="n"/>
      <c r="R212" s="102" t="n"/>
      <c r="S212" s="55" t="e">
        <v>#REF!</v>
      </c>
    </row>
    <row r="213" ht="45" customHeight="1">
      <c r="A213" s="50" t="inlineStr">
        <is>
          <t>CP216</t>
        </is>
      </c>
      <c r="B213" s="50" t="inlineStr">
        <is>
          <t>CERRADA</t>
        </is>
      </c>
      <c r="C213" s="51" t="n"/>
      <c r="D213" s="52" t="n"/>
      <c r="E213" s="53" t="n">
        <v>45553</v>
      </c>
      <c r="F213" s="52" t="n">
        <v>4757</v>
      </c>
      <c r="G213" s="50" t="inlineStr">
        <is>
          <t>REP-ERT - 4757. 00. ATRADIUS PORTO_TRANSFOR GROUP_ECOBAFFLE CURVE_PT</t>
        </is>
      </c>
      <c r="H213" s="50" t="inlineStr">
        <is>
          <t>TRANSFOR GROUP</t>
        </is>
      </c>
      <c r="I213" s="50" t="inlineStr">
        <is>
          <t>Paulo</t>
        </is>
      </c>
      <c r="J213" s="50" t="inlineStr">
        <is>
          <t>Luis</t>
        </is>
      </c>
      <c r="K213" s="50" t="inlineStr">
        <is>
          <t>Error técnico</t>
        </is>
      </c>
      <c r="L213" s="50" t="e">
        <v>#REF!</v>
      </c>
      <c r="M213" s="54" t="inlineStr">
        <is>
          <t>Reposicion al cliente</t>
        </is>
      </c>
      <c r="N213" s="50" t="inlineStr">
        <is>
          <t>Enviar de nuevo los paneles</t>
        </is>
      </c>
      <c r="O213" s="47" t="inlineStr">
        <is>
          <t>Pidieron bafles pero no especificaron si curvos o rectos. En el titulo del presupuesto se puso ECObaffle curvo pero en presupuesto se puso recto. El cliente no se lee el presupuesto y ahora reclama que han de ser curvos</t>
        </is>
      </c>
      <c r="P213" s="98" t="n">
        <v>980</v>
      </c>
      <c r="Q213" s="99" t="n"/>
      <c r="R213" s="99" t="n"/>
      <c r="S213" s="50" t="e">
        <v>#REF!</v>
      </c>
    </row>
    <row r="214" ht="45" customHeight="1">
      <c r="A214" s="55" t="inlineStr">
        <is>
          <t>CP217</t>
        </is>
      </c>
      <c r="B214" s="55" t="inlineStr">
        <is>
          <t>CERRADA</t>
        </is>
      </c>
      <c r="C214" s="56" t="n"/>
      <c r="E214" s="58" t="n">
        <v>45553</v>
      </c>
      <c r="F214" s="57" t="n">
        <v>3821</v>
      </c>
      <c r="G214" s="55" t="inlineStr">
        <is>
          <t>REP-FC 3821. 00. EQUIPAVILES CODE AST</t>
        </is>
      </c>
      <c r="H214" s="55" t="inlineStr">
        <is>
          <t>EQUIPAVILES</t>
        </is>
      </c>
      <c r="I214" s="55" t="inlineStr">
        <is>
          <t>Covadonga</t>
        </is>
      </c>
      <c r="J214" s="55" t="inlineStr">
        <is>
          <t>Rashli</t>
        </is>
      </c>
      <c r="K214" s="55" t="inlineStr">
        <is>
          <t>Falta Componentes</t>
        </is>
      </c>
      <c r="L214" s="55" t="e">
        <v>#REF!</v>
      </c>
      <c r="M214" s="59" t="inlineStr">
        <is>
          <t>Reposicion al cliente</t>
        </is>
      </c>
      <c r="N214" s="55" t="inlineStr">
        <is>
          <t>Enviar los módulos que faltaron</t>
        </is>
      </c>
      <c r="O214" s="46" t="inlineStr">
        <is>
          <t>Se les hizoun despiece de módulos de CODE y especificando que algunos llevaban costillas y otros no. Todos se enviaron sin. Usaron todos los módulos, apañando algunos y ahora les faltan 8 módulos. 3 con box</t>
        </is>
      </c>
      <c r="P214" s="101">
        <f>140*8*0.48+50*3*0.48</f>
        <v/>
      </c>
      <c r="Q214" s="102" t="n"/>
      <c r="R214" s="102" t="n"/>
      <c r="S214" s="55" t="e">
        <v>#REF!</v>
      </c>
    </row>
    <row r="215" ht="30" customHeight="1">
      <c r="A215" s="50" t="inlineStr">
        <is>
          <t>CP218</t>
        </is>
      </c>
      <c r="B215" s="50" t="inlineStr">
        <is>
          <t>CERRADA</t>
        </is>
      </c>
      <c r="C215" s="51" t="n"/>
      <c r="D215" s="52" t="n"/>
      <c r="E215" s="53" t="n">
        <v>45554</v>
      </c>
      <c r="F215" s="52" t="n">
        <v>3863</v>
      </c>
      <c r="G215" s="50" t="inlineStr">
        <is>
          <t>REP-CO 3863. 00. EQUIPAVILES ASTURM AST</t>
        </is>
      </c>
      <c r="H215" s="50" t="inlineStr">
        <is>
          <t>EQUIPAVILES</t>
        </is>
      </c>
      <c r="I215" s="50" t="inlineStr">
        <is>
          <t>Covadonga</t>
        </is>
      </c>
      <c r="J215" s="50" t="inlineStr">
        <is>
          <t>Mónica</t>
        </is>
      </c>
      <c r="K215" s="50" t="inlineStr">
        <is>
          <t>Color - Lote - Diferencia</t>
        </is>
      </c>
      <c r="L215" s="50" t="e">
        <v>#REF!</v>
      </c>
      <c r="M215" s="54" t="inlineStr">
        <is>
          <t>Reposicion al cliente</t>
        </is>
      </c>
      <c r="N215" s="50" t="inlineStr">
        <is>
          <t>Enviar paneles toda la pared, registrar los lotes</t>
        </is>
      </c>
      <c r="O215" s="47" t="inlineStr">
        <is>
          <t>Enviamos 6 ECOwall biselado porque ha habido diferencia de tono por lote en una unidad de panel pero como no tenemos el lote registrado, tenemos que reponer toda la pared.</t>
        </is>
      </c>
      <c r="P215" s="98" t="n">
        <v>1605.6</v>
      </c>
      <c r="Q215" s="99" t="n"/>
      <c r="R215" s="99" t="n"/>
      <c r="S215" s="50" t="e">
        <v>#REF!</v>
      </c>
    </row>
    <row r="216" ht="30" customHeight="1">
      <c r="A216" s="55" t="inlineStr">
        <is>
          <t>CP219</t>
        </is>
      </c>
      <c r="B216" s="55" t="inlineStr">
        <is>
          <t>CERRADA</t>
        </is>
      </c>
      <c r="C216" s="56" t="n"/>
      <c r="E216" s="58" t="n">
        <v>45562</v>
      </c>
      <c r="F216" s="57" t="n">
        <v>5659</v>
      </c>
      <c r="G216" s="55" t="inlineStr">
        <is>
          <t xml:space="preserve">REP-IT. 5659. 00. CONTEL RECTANGLE 12+12 REF 6040 CAT </t>
        </is>
      </c>
      <c r="H216" s="55" t="inlineStr">
        <is>
          <t xml:space="preserve">CONTEL </t>
        </is>
      </c>
      <c r="I216" s="55" t="inlineStr">
        <is>
          <t xml:space="preserve">Manel </t>
        </is>
      </c>
      <c r="J216" s="55" t="inlineStr">
        <is>
          <t>Angela</t>
        </is>
      </c>
      <c r="K216" s="55" t="inlineStr">
        <is>
          <t>Transporte</t>
        </is>
      </c>
      <c r="L216" s="55" t="e">
        <v>#REF!</v>
      </c>
      <c r="M216" s="59" t="inlineStr">
        <is>
          <t>Reposicion al cliente</t>
        </is>
      </c>
      <c r="N216" s="55" t="inlineStr">
        <is>
          <t>Enviar 1 Ud panel dañado</t>
        </is>
      </c>
      <c r="O216" s="46" t="inlineStr">
        <is>
          <t>1 Ud COLOR ECO 123 Moon gray ESPESOR 12+12 MM medidas  1150x575x(12+12) mm</t>
        </is>
      </c>
      <c r="P216" s="101" t="n">
        <v>107.25</v>
      </c>
      <c r="Q216" s="102" t="n"/>
      <c r="R216" s="102" t="n"/>
      <c r="S216" s="55" t="e">
        <v>#REF!</v>
      </c>
    </row>
    <row r="217" ht="30" customHeight="1">
      <c r="A217" s="50" t="inlineStr">
        <is>
          <t>CP220</t>
        </is>
      </c>
      <c r="B217" s="50" t="inlineStr">
        <is>
          <t>CERRADA</t>
        </is>
      </c>
      <c r="C217" s="51" t="n"/>
      <c r="D217" s="52" t="n"/>
      <c r="E217" s="53" t="n">
        <v>45565</v>
      </c>
      <c r="F217" s="52" t="n">
        <v>5061</v>
      </c>
      <c r="G217" s="50" t="inlineStr">
        <is>
          <t>REP-ERF5061. 00. DISTEC MODULAR AGUAS DE FIRGAS CAN</t>
        </is>
      </c>
      <c r="H217" s="50" t="inlineStr">
        <is>
          <t>DISTEC</t>
        </is>
      </c>
      <c r="I217" s="50" t="inlineStr">
        <is>
          <t>IKER</t>
        </is>
      </c>
      <c r="J217" s="50" t="inlineStr">
        <is>
          <t>Emilio</t>
        </is>
      </c>
      <c r="K217" s="50" t="inlineStr">
        <is>
          <t>Fabricación</t>
        </is>
      </c>
      <c r="L217" s="50" t="e">
        <v>#REF!</v>
      </c>
      <c r="M217" s="54" t="inlineStr">
        <is>
          <t>Reposicion al cliente</t>
        </is>
      </c>
      <c r="N217" s="50" t="inlineStr">
        <is>
          <t>Enviar las costillas que faltaron por enviar en el pedido inicial</t>
        </is>
      </c>
      <c r="O217" s="47" t="inlineStr">
        <is>
          <t xml:space="preserve">Las costillas de code que iban sueltas para hacer ajustes en obra no se enviaron. </t>
        </is>
      </c>
      <c r="P217" s="98" t="n">
        <v>80</v>
      </c>
      <c r="Q217" s="99" t="n"/>
      <c r="R217" s="99" t="n"/>
      <c r="S217" s="50" t="e">
        <v>#REF!</v>
      </c>
    </row>
    <row r="218" ht="30" customHeight="1">
      <c r="A218" s="55" t="inlineStr">
        <is>
          <t>CP221</t>
        </is>
      </c>
      <c r="B218" s="55" t="inlineStr">
        <is>
          <t>CERRADA</t>
        </is>
      </c>
      <c r="C218" s="56" t="n"/>
      <c r="E218" s="58" t="n">
        <v>45572</v>
      </c>
      <c r="F218" s="57" t="n">
        <v>4984</v>
      </c>
      <c r="G218" s="55" t="inlineStr">
        <is>
          <t>REP-EDC 4984. 00. DOKCONTRACT ECONORDIK MAD</t>
        </is>
      </c>
      <c r="H218" s="55" t="inlineStr">
        <is>
          <t>DOKCONTRACT</t>
        </is>
      </c>
      <c r="I218" s="55" t="inlineStr">
        <is>
          <t>Manel</t>
        </is>
      </c>
      <c r="J218" s="55" t="inlineStr">
        <is>
          <t>Angela</t>
        </is>
      </c>
      <c r="K218" s="55" t="inlineStr">
        <is>
          <t>Defecto por cliente</t>
        </is>
      </c>
      <c r="L218" s="55" t="e">
        <v>#REF!</v>
      </c>
      <c r="M218" s="59" t="inlineStr">
        <is>
          <t>Reposicion al cliente</t>
        </is>
      </c>
      <c r="N218" s="55" t="inlineStr">
        <is>
          <t xml:space="preserve">Enviar 11 unidades de ECOnordik </t>
        </is>
      </c>
      <c r="O218" s="46" t="inlineStr">
        <is>
          <t>Al colocar ECOnordiks uno encima de otro no casan los listones y se nota demasiado la junta, al desinstalar los paneles quedan 11 unidades dañadas</t>
        </is>
      </c>
      <c r="P218" s="101" t="n">
        <v>1397.55</v>
      </c>
      <c r="Q218" s="102" t="n"/>
      <c r="R218" s="102" t="n"/>
      <c r="S218" s="55" t="e">
        <v>#REF!</v>
      </c>
    </row>
    <row r="219" ht="30" customHeight="1">
      <c r="A219" s="50" t="inlineStr">
        <is>
          <t>CP222</t>
        </is>
      </c>
      <c r="B219" s="50" t="inlineStr">
        <is>
          <t>CERRADA</t>
        </is>
      </c>
      <c r="C219" s="51" t="n"/>
      <c r="D219" s="52" t="n"/>
      <c r="E219" s="53" t="n">
        <v>45573</v>
      </c>
      <c r="F219" s="52" t="n">
        <v>2303</v>
      </c>
      <c r="G219" s="50" t="inlineStr">
        <is>
          <t>REP-ERF 2303. 00. ROVEL ISLAS FOAM+ECONORDIK PGC</t>
        </is>
      </c>
      <c r="H219" s="50" t="inlineStr">
        <is>
          <t>ROVEL</t>
        </is>
      </c>
      <c r="I219" s="50" t="inlineStr">
        <is>
          <t>Iker y Manel</t>
        </is>
      </c>
      <c r="J219" s="50" t="inlineStr">
        <is>
          <t>Mónica</t>
        </is>
      </c>
      <c r="K219" s="50" t="inlineStr">
        <is>
          <t>Fabricación</t>
        </is>
      </c>
      <c r="L219" s="50" t="e">
        <v>#REF!</v>
      </c>
      <c r="M219" s="54" t="inlineStr">
        <is>
          <t>Reposicion al cliente</t>
        </is>
      </c>
      <c r="N219" s="50" t="inlineStr">
        <is>
          <t xml:space="preserve">Enviar 11 unidades de ECOnordik </t>
        </is>
      </c>
      <c r="O219" s="47" t="inlineStr">
        <is>
          <t>La última franja de PET mide menos de 12 mm y al concatenar paneles se nota la separación</t>
        </is>
      </c>
      <c r="P219" s="98" t="inlineStr">
        <is>
          <t>2,420,00€</t>
        </is>
      </c>
      <c r="Q219" s="99" t="n"/>
      <c r="R219" s="99" t="n"/>
      <c r="S219" s="50" t="e">
        <v>#REF!</v>
      </c>
    </row>
    <row r="220" ht="30" customHeight="1">
      <c r="A220" s="55" t="inlineStr">
        <is>
          <t>CP223</t>
        </is>
      </c>
      <c r="B220" s="55" t="inlineStr">
        <is>
          <t>CERRADA</t>
        </is>
      </c>
      <c r="C220" s="56" t="n"/>
      <c r="E220" s="58" t="n">
        <v>45573</v>
      </c>
      <c r="F220" s="57" t="n">
        <v>5169</v>
      </c>
      <c r="G220" s="55" t="inlineStr">
        <is>
          <t>REP-ERT 5169. 00. RBSYSTEM_CADEA_ECOCLOUD _FR</t>
        </is>
      </c>
      <c r="H220" s="55" t="inlineStr">
        <is>
          <t>CADEA</t>
        </is>
      </c>
      <c r="I220" s="55" t="inlineStr">
        <is>
          <t>Sylvain</t>
        </is>
      </c>
      <c r="J220" s="55" t="inlineStr">
        <is>
          <t>Rashli</t>
        </is>
      </c>
      <c r="K220" s="55" t="inlineStr">
        <is>
          <t>Error técnico</t>
        </is>
      </c>
      <c r="L220" s="55" t="e">
        <v>#REF!</v>
      </c>
      <c r="M220" s="59" t="inlineStr">
        <is>
          <t>Reposicion al cliente</t>
        </is>
      </c>
      <c r="N220" s="55" t="inlineStr">
        <is>
          <t>Enviar 4 islas D800mm + 12 anclajes</t>
        </is>
      </c>
      <c r="O220" s="46" t="inlineStr">
        <is>
          <t>El cliente pidió 7 islas y sólo le llegaron tres. Hubo una modificación en trello y no se traslado a fábrica. Solo coste de transporte, ya que no se envió inicialmente</t>
        </is>
      </c>
      <c r="P220" s="101" t="n">
        <v>0</v>
      </c>
      <c r="Q220" s="102" t="n"/>
      <c r="R220" s="102" t="n"/>
      <c r="S220" s="55" t="e">
        <v>#REF!</v>
      </c>
    </row>
    <row r="221" ht="30" customHeight="1">
      <c r="A221" s="50" t="inlineStr">
        <is>
          <t>CP224</t>
        </is>
      </c>
      <c r="B221" s="50" t="inlineStr">
        <is>
          <t>CERRADA</t>
        </is>
      </c>
      <c r="C221" s="51" t="n"/>
      <c r="D221" s="52" t="n"/>
      <c r="E221" s="53" t="n">
        <v>45576</v>
      </c>
      <c r="F221" s="52" t="n">
        <v>5703</v>
      </c>
      <c r="G221" s="50" t="inlineStr">
        <is>
          <t>REP-COM 5703. 00. COPIBA SANT ANDREU SQUARE CAT</t>
        </is>
      </c>
      <c r="H221" s="50" t="inlineStr">
        <is>
          <t>COPIBA</t>
        </is>
      </c>
      <c r="I221" s="50" t="inlineStr">
        <is>
          <t>Manel</t>
        </is>
      </c>
      <c r="J221" s="50" t="inlineStr">
        <is>
          <t>Angela</t>
        </is>
      </c>
      <c r="K221" s="50" t="inlineStr">
        <is>
          <t>Defecto por comercial</t>
        </is>
      </c>
      <c r="L221" s="50" t="e">
        <v>#REF!</v>
      </c>
      <c r="M221" s="54" t="inlineStr">
        <is>
          <t>Reposición al cliente</t>
        </is>
      </c>
      <c r="N221" s="50" t="inlineStr">
        <is>
          <t>Recoger pedido enviado y volver a enviar con color correcto</t>
        </is>
      </c>
      <c r="O221" s="47" t="inlineStr">
        <is>
          <t xml:space="preserve">Error comercial, manel indicó blanco y el cliente lo quería negro. Se recoge el que tienen y se vuelve a enviar. </t>
        </is>
      </c>
      <c r="P221" s="98" t="n">
        <v>864</v>
      </c>
      <c r="Q221" s="99" t="n"/>
      <c r="R221" s="99" t="n"/>
      <c r="S221" s="50" t="e">
        <v>#REF!</v>
      </c>
    </row>
    <row r="222" ht="30" customHeight="1">
      <c r="A222" s="55" t="inlineStr">
        <is>
          <t>CP225</t>
        </is>
      </c>
      <c r="B222" s="55" t="inlineStr">
        <is>
          <t>CERRADA</t>
        </is>
      </c>
      <c r="C222" s="56" t="n"/>
      <c r="E222" s="58" t="n">
        <v>45579</v>
      </c>
      <c r="F222" s="57" t="n">
        <v>4673</v>
      </c>
      <c r="G222" s="55" t="inlineStr">
        <is>
          <t>6226. 01. REP-IT 4673 00 ECS_LOCKCORPORATE_ECONORDIK_PT</t>
        </is>
      </c>
      <c r="H222" s="55" t="inlineStr">
        <is>
          <t>LOCKCORPORATE</t>
        </is>
      </c>
      <c r="I222" s="55" t="inlineStr">
        <is>
          <t>Paulo</t>
        </is>
      </c>
      <c r="J222" s="55" t="inlineStr">
        <is>
          <t>Luis</t>
        </is>
      </c>
      <c r="K222" s="55" t="inlineStr">
        <is>
          <t>Transporte</t>
        </is>
      </c>
      <c r="L222" s="55" t="e">
        <v>#REF!</v>
      </c>
      <c r="M222" s="59" t="inlineStr">
        <is>
          <t>Reposicion al cliente</t>
        </is>
      </c>
      <c r="N222" s="55" t="inlineStr">
        <is>
          <t>-</t>
        </is>
      </c>
      <c r="O222" s="46" t="inlineStr">
        <is>
          <t>Reponemos 3 paneles dañados</t>
        </is>
      </c>
      <c r="P222" s="101" t="n">
        <v>270</v>
      </c>
      <c r="Q222" s="102" t="n"/>
      <c r="R222" s="102" t="n"/>
      <c r="S222" s="55" t="e">
        <v>#REF!</v>
      </c>
    </row>
    <row r="223" ht="30" customHeight="1">
      <c r="A223" s="50" t="inlineStr">
        <is>
          <t>CP226</t>
        </is>
      </c>
      <c r="B223" s="50" t="inlineStr">
        <is>
          <t>CERRADA</t>
        </is>
      </c>
      <c r="C223" s="51" t="n"/>
      <c r="D223" s="52" t="n"/>
      <c r="E223" s="53" t="n">
        <v>45581</v>
      </c>
      <c r="F223" s="52" t="n">
        <v>4879</v>
      </c>
      <c r="G223" s="50" t="inlineStr">
        <is>
          <t>6295. 01. REP-ERT - 4879. 01. ESTARMOVIL V-CUT CV</t>
        </is>
      </c>
      <c r="H223" s="50" t="inlineStr">
        <is>
          <t>ESTARMOVIL</t>
        </is>
      </c>
      <c r="I223" s="50" t="inlineStr">
        <is>
          <t>Javier Hernández</t>
        </is>
      </c>
      <c r="J223" s="50" t="inlineStr">
        <is>
          <t>Luis</t>
        </is>
      </c>
      <c r="K223" s="50" t="inlineStr">
        <is>
          <t>Error técnico</t>
        </is>
      </c>
      <c r="L223" s="50" t="e">
        <v>#REF!</v>
      </c>
      <c r="M223" s="54" t="inlineStr">
        <is>
          <t>Reposicion al cliente</t>
        </is>
      </c>
      <c r="N223" s="50" t="inlineStr">
        <is>
          <t>Enviar el archivo de corte al cliente para que lo valide</t>
        </is>
      </c>
      <c r="O223" s="47" t="inlineStr">
        <is>
          <t>Reponer 1 paneles V-cut. No nos dijeron la orientacion de los paneles y se han cortado de la que no tocaba</t>
        </is>
      </c>
      <c r="P223" s="98">
        <f>250.8</f>
        <v/>
      </c>
      <c r="Q223" s="99" t="n"/>
      <c r="R223" s="99" t="n"/>
      <c r="S223" s="50" t="e">
        <v>#REF!</v>
      </c>
    </row>
    <row r="224" ht="30" customHeight="1">
      <c r="A224" s="55" t="inlineStr">
        <is>
          <t>CP227</t>
        </is>
      </c>
      <c r="B224" s="55" t="inlineStr">
        <is>
          <t>CERRADA</t>
        </is>
      </c>
      <c r="C224" s="56" t="n"/>
      <c r="E224" s="58" t="n">
        <v>45581</v>
      </c>
      <c r="F224" s="57" t="n">
        <v>1395</v>
      </c>
      <c r="G224" s="55" t="inlineStr">
        <is>
          <t>6308. 04. REP-ERT - 1395. 04. IMPACTO VLC AULAS UPV ECONORDI</t>
        </is>
      </c>
      <c r="I224" s="55" t="inlineStr">
        <is>
          <t>Javier Hernandez</t>
        </is>
      </c>
      <c r="J224" s="55" t="inlineStr">
        <is>
          <t>Luis</t>
        </is>
      </c>
      <c r="K224" s="55" t="inlineStr">
        <is>
          <t>Error técnico</t>
        </is>
      </c>
      <c r="L224" s="55" t="e">
        <v>#REF!</v>
      </c>
      <c r="M224" s="59" t="inlineStr">
        <is>
          <t>Reposicion al cliente</t>
        </is>
      </c>
      <c r="N224" s="55" t="inlineStr">
        <is>
          <t>Explicar al cliente que la tira del ECOnordik va aparte</t>
        </is>
      </c>
      <c r="O224" s="46" t="inlineStr">
        <is>
          <t xml:space="preserve">50 ECOnordiks cortados a medida. Porque no sabian que las tiras iban aparte y pidieron mal la medida. </t>
        </is>
      </c>
      <c r="P224" s="101" t="n">
        <v>1624.35</v>
      </c>
      <c r="Q224" s="102" t="n"/>
      <c r="R224" s="102" t="n"/>
      <c r="S224" s="55" t="e">
        <v>#REF!</v>
      </c>
    </row>
    <row r="225" ht="30" customHeight="1">
      <c r="A225" s="50" t="inlineStr">
        <is>
          <t>CP228</t>
        </is>
      </c>
      <c r="B225" s="50" t="inlineStr">
        <is>
          <t>CERRADA</t>
        </is>
      </c>
      <c r="C225" s="51" t="n"/>
      <c r="D225" s="52" t="n"/>
      <c r="E225" s="53" t="n">
        <v>45582</v>
      </c>
      <c r="F225" s="52" t="n">
        <v>3283</v>
      </c>
      <c r="G225" s="50" t="inlineStr">
        <is>
          <t>6337. 00. REP-ERF 3283 HQ REFURBISHMENT_MAO LIVRE_OUZZLE_PT</t>
        </is>
      </c>
      <c r="H225" s="50" t="inlineStr">
        <is>
          <t>MAO LIVRE</t>
        </is>
      </c>
      <c r="I225" s="50" t="inlineStr">
        <is>
          <t>Loliett/Paulo</t>
        </is>
      </c>
      <c r="J225" s="50" t="inlineStr">
        <is>
          <t>Luis</t>
        </is>
      </c>
      <c r="K225" s="50" t="inlineStr">
        <is>
          <t>Fabricación</t>
        </is>
      </c>
      <c r="L225" s="50" t="e">
        <v>#REF!</v>
      </c>
      <c r="M225" s="54" t="inlineStr">
        <is>
          <t>Comprobar que las piezas de puzzle encajen y consigan la forma indicada</t>
        </is>
      </c>
      <c r="N225" s="50" t="inlineStr">
        <is>
          <t>Enviar las piezas de puzzle defectuosas nuevamente</t>
        </is>
      </c>
      <c r="O225" s="47" t="inlineStr">
        <is>
          <t>El cliente recibidó varias piezas del puzzle en las que no se puede levantar punta para conseguir el efecto curvo. Pegaron las piezas al revés</t>
        </is>
      </c>
      <c r="P225" s="98" t="n">
        <v>590</v>
      </c>
      <c r="Q225" s="99" t="n"/>
      <c r="R225" s="99" t="n"/>
      <c r="S225" s="50" t="e">
        <v>#REF!</v>
      </c>
    </row>
    <row r="226" ht="30" customHeight="1">
      <c r="A226" s="55" t="inlineStr">
        <is>
          <t>CP229</t>
        </is>
      </c>
      <c r="B226" s="55" t="inlineStr">
        <is>
          <t>CERRADA</t>
        </is>
      </c>
      <c r="C226" s="56" t="n"/>
      <c r="E226" s="58" t="n">
        <v>45583</v>
      </c>
      <c r="F226" s="57" t="n">
        <v>4676</v>
      </c>
      <c r="G226" s="55" t="inlineStr">
        <is>
          <t>6362. 00. REP-FC 4676. 00. OFICINES MOBILIARI BAFFLE FOAM CV</t>
        </is>
      </c>
      <c r="H226" s="55" t="inlineStr">
        <is>
          <t>Oficines Mobiliari</t>
        </is>
      </c>
      <c r="I226" s="55" t="inlineStr">
        <is>
          <t>Javier Hernández</t>
        </is>
      </c>
      <c r="J226" s="55" t="inlineStr">
        <is>
          <t>Mónica</t>
        </is>
      </c>
      <c r="K226" s="55" t="inlineStr">
        <is>
          <t>Falta Componentes</t>
        </is>
      </c>
      <c r="L226" s="55" t="e">
        <v>#REF!</v>
      </c>
      <c r="M226" s="59" t="inlineStr">
        <is>
          <t>Comprobar que se envian todas las piezas</t>
        </is>
      </c>
      <c r="N226" s="55" t="inlineStr">
        <is>
          <t>Reponer al cliente 252 muelles para los anclajes B</t>
        </is>
      </c>
      <c r="O226" s="46" t="inlineStr">
        <is>
          <t>Se enviaron los anclajes B sin el muelle</t>
        </is>
      </c>
      <c r="P226" s="101" t="n">
        <v>0</v>
      </c>
      <c r="Q226" s="102" t="n"/>
      <c r="R226" s="102" t="n"/>
      <c r="S226" s="55" t="e">
        <v>#REF!</v>
      </c>
    </row>
    <row r="227" ht="30" customHeight="1">
      <c r="A227" s="50" t="inlineStr">
        <is>
          <t>CP230</t>
        </is>
      </c>
      <c r="B227" s="50" t="inlineStr">
        <is>
          <t>CERRADA</t>
        </is>
      </c>
      <c r="C227" s="51" t="n"/>
      <c r="D227" s="52" t="n"/>
      <c r="E227" s="53" t="n">
        <v>45583</v>
      </c>
      <c r="F227" s="52" t="n">
        <v>4528</v>
      </c>
      <c r="G227" s="50" t="inlineStr">
        <is>
          <t>6369. 00. REP-DC 4528. 00. TETRIS OBRA DIVERTIA REAL MADRID MAD</t>
        </is>
      </c>
      <c r="H227" s="50" t="inlineStr">
        <is>
          <t>TETRIS</t>
        </is>
      </c>
      <c r="I227" s="50" t="inlineStr">
        <is>
          <t>Ricardo de Juan</t>
        </is>
      </c>
      <c r="J227" s="50" t="inlineStr">
        <is>
          <t>Diego</t>
        </is>
      </c>
      <c r="K227" s="50" t="inlineStr">
        <is>
          <t>Defecto por cliente</t>
        </is>
      </c>
      <c r="L227" s="50" t="e">
        <v>#REF!</v>
      </c>
      <c r="M227" s="54" t="inlineStr">
        <is>
          <t>Comprobar que se envían en el mismo tono</t>
        </is>
      </c>
      <c r="N227" s="50" t="inlineStr">
        <is>
          <t>Reponer 6 paneles lisos</t>
        </is>
      </c>
      <c r="O227" s="47" t="inlineStr">
        <is>
          <t>Los paneles les llegan dañados por transporte según indican pero no lo demuestran y parece que lo han dañado ellos mismos en obra</t>
        </is>
      </c>
      <c r="P227" s="98" t="n">
        <v>858</v>
      </c>
      <c r="Q227" s="99" t="n"/>
      <c r="R227" s="99" t="n"/>
      <c r="S227" s="50" t="e">
        <v>#REF!</v>
      </c>
    </row>
    <row r="228" ht="30" customHeight="1">
      <c r="A228" s="55" t="inlineStr">
        <is>
          <t>CP231</t>
        </is>
      </c>
      <c r="B228" s="55" t="inlineStr">
        <is>
          <t>CERRADA</t>
        </is>
      </c>
      <c r="C228" s="56" t="n"/>
      <c r="E228" s="58" t="n">
        <v>45587</v>
      </c>
      <c r="F228" s="57" t="n">
        <v>5957</v>
      </c>
      <c r="G228" s="55" t="inlineStr">
        <is>
          <t>6426.00. REP-IT. 5957. 00. SUMMA ECOWALL NOLOGIN CAT</t>
        </is>
      </c>
      <c r="H228" s="55" t="inlineStr">
        <is>
          <t>SUMMA</t>
        </is>
      </c>
      <c r="I228" s="55" t="inlineStr">
        <is>
          <t xml:space="preserve">Manel </t>
        </is>
      </c>
      <c r="J228" s="55" t="inlineStr">
        <is>
          <t>Angela</t>
        </is>
      </c>
      <c r="K228" s="55" t="inlineStr">
        <is>
          <t>Transporte</t>
        </is>
      </c>
      <c r="L228" s="55" t="e">
        <v>#REF!</v>
      </c>
      <c r="M228" s="59" t="inlineStr">
        <is>
          <t>Llevar a cabo estudio agencias transporte. EN ESTE CASO TRANSAHER</t>
        </is>
      </c>
      <c r="N228" s="55" t="inlineStr">
        <is>
          <t>Reponer 4 paneles al cliente</t>
        </is>
      </c>
      <c r="O228" s="46" t="inlineStr">
        <is>
          <t xml:space="preserve">El cliente reclama el mismo día que le llega. DE 8 PANELES DE 1170X1170, 4 le llegan mal.  </t>
        </is>
      </c>
      <c r="P228" s="101" t="n">
        <v>1056</v>
      </c>
      <c r="Q228" s="102" t="n"/>
      <c r="R228" s="102" t="n"/>
      <c r="S228" s="55" t="e">
        <v>#REF!</v>
      </c>
    </row>
    <row r="229" ht="30" customHeight="1">
      <c r="A229" s="50" t="inlineStr">
        <is>
          <t>CP232</t>
        </is>
      </c>
      <c r="B229" s="50" t="inlineStr">
        <is>
          <t>CERRADA</t>
        </is>
      </c>
      <c r="C229" s="51" t="n"/>
      <c r="D229" s="52" t="n"/>
      <c r="E229" s="53" t="n">
        <v>45587</v>
      </c>
      <c r="F229" s="52" t="n">
        <v>6454</v>
      </c>
      <c r="G229" s="50" t="inlineStr">
        <is>
          <t>6454. 00. REP-ERF SERTEBRA CBRE BOTANIC 1 MAD</t>
        </is>
      </c>
      <c r="H229" s="50" t="inlineStr">
        <is>
          <t>CBRE</t>
        </is>
      </c>
      <c r="I229" s="50" t="inlineStr">
        <is>
          <t xml:space="preserve">Miguel Angel </t>
        </is>
      </c>
      <c r="J229" s="50" t="inlineStr">
        <is>
          <t>Diego</t>
        </is>
      </c>
      <c r="K229" s="50" t="inlineStr">
        <is>
          <t>Fabricación</t>
        </is>
      </c>
      <c r="L229" s="50" t="e">
        <v>#REF!</v>
      </c>
      <c r="M229" s="54" t="inlineStr">
        <is>
          <t>No mezclar lotes de fabricación, y si se hace, comprobar los tonos</t>
        </is>
      </c>
      <c r="N229" s="50" t="inlineStr">
        <is>
          <t>Reposicion pared completa 7 paneles.</t>
        </is>
      </c>
      <c r="O229" s="47" t="inlineStr">
        <is>
          <t>Se fabrica una pared completa con 7 paneles. 5 enteros + 5 piezas pequeñas. Las piezas pequeñas tienen otro tono.</t>
        </is>
      </c>
      <c r="P229" s="98" t="n">
        <v>1120</v>
      </c>
      <c r="Q229" s="99" t="n"/>
      <c r="R229" s="99" t="n"/>
      <c r="S229" s="50" t="e">
        <v>#REF!</v>
      </c>
    </row>
    <row r="230" ht="30" customHeight="1">
      <c r="A230" s="55" t="inlineStr">
        <is>
          <t>CP233</t>
        </is>
      </c>
      <c r="B230" s="55" t="inlineStr">
        <is>
          <t>CERRADA</t>
        </is>
      </c>
      <c r="C230" s="56" t="n"/>
      <c r="E230" s="58" t="n">
        <v>45588</v>
      </c>
      <c r="F230" s="57" t="n">
        <v>6000</v>
      </c>
      <c r="G230" s="55" t="inlineStr">
        <is>
          <t>6471. 02. REP-ERT - 6000. MODELO OP2_UKINO PALMEIRAS VILLAGE_2UNIQ</t>
        </is>
      </c>
      <c r="I230" s="55" t="inlineStr">
        <is>
          <t>Paulo</t>
        </is>
      </c>
      <c r="J230" s="55" t="inlineStr">
        <is>
          <t>Luis</t>
        </is>
      </c>
      <c r="K230" s="55" t="inlineStr">
        <is>
          <t>Error técnico</t>
        </is>
      </c>
      <c r="L230" s="55" t="e">
        <v>#REF!</v>
      </c>
      <c r="M230" s="59" t="inlineStr">
        <is>
          <t>Reposicion al cliente</t>
        </is>
      </c>
      <c r="N230" s="55" t="inlineStr">
        <is>
          <t>Revisar dxf dos o tres veces antes de lanzar pedido</t>
        </is>
      </c>
      <c r="O230" s="46" t="inlineStr">
        <is>
          <t>Reponemos 2 piezas para remates. Se cortaron las piezas de medida incorrecta. Sertebra instalo unos paneles que tenía de ese color pero no cuadra el tono.</t>
        </is>
      </c>
      <c r="P230" s="101" t="n">
        <v>75</v>
      </c>
      <c r="Q230" s="102" t="n"/>
      <c r="R230" s="102" t="n"/>
      <c r="S230" s="55" t="e">
        <v>#REF!</v>
      </c>
    </row>
    <row r="231" ht="30" customHeight="1">
      <c r="A231" s="50" t="inlineStr">
        <is>
          <t>CP234</t>
        </is>
      </c>
      <c r="B231" s="50" t="inlineStr">
        <is>
          <t>CERRADA</t>
        </is>
      </c>
      <c r="C231" s="51" t="n"/>
      <c r="D231" s="52" t="n"/>
      <c r="E231" s="53" t="n">
        <v>45588</v>
      </c>
      <c r="F231" s="52" t="n">
        <v>5716</v>
      </c>
      <c r="G231" s="50" t="inlineStr">
        <is>
          <t>6476. 00. REP-IT 5716 ANGERS_MARINE_OPUS DB_VCUT+ECOCLOUD_FR</t>
        </is>
      </c>
      <c r="H231" s="50" t="n"/>
      <c r="I231" s="50" t="inlineStr">
        <is>
          <t>Sylvain</t>
        </is>
      </c>
      <c r="J231" s="50" t="inlineStr">
        <is>
          <t>Rashli</t>
        </is>
      </c>
      <c r="K231" s="50" t="inlineStr">
        <is>
          <t>Falta Componentes</t>
        </is>
      </c>
      <c r="L231" s="50" t="e">
        <v>#REF!</v>
      </c>
      <c r="M231" s="54" t="inlineStr">
        <is>
          <t>Revisar que se envien todos los bultos</t>
        </is>
      </c>
      <c r="N231" s="50" t="inlineStr">
        <is>
          <t>Enviar las colas y los adhesivos que faltan</t>
        </is>
      </c>
      <c r="O231" s="47" t="inlineStr">
        <is>
          <t>Al cliente no le llegan los accesorios porque nos los dejamos en ECOcero aunque estaban preparados</t>
        </is>
      </c>
      <c r="P231" s="98" t="n">
        <v>705.6</v>
      </c>
      <c r="Q231" s="99" t="n"/>
      <c r="R231" s="99" t="n"/>
      <c r="S231" s="50" t="e">
        <v>#REF!</v>
      </c>
    </row>
    <row r="232" ht="30" customHeight="1">
      <c r="A232" s="55" t="inlineStr">
        <is>
          <t>CP235</t>
        </is>
      </c>
      <c r="B232" s="55" t="inlineStr">
        <is>
          <t>CERRADA</t>
        </is>
      </c>
      <c r="C232" s="56" t="n"/>
      <c r="E232" s="58" t="n">
        <v>45588</v>
      </c>
      <c r="F232" s="57" t="n">
        <v>4476</v>
      </c>
      <c r="G232" s="55" t="inlineStr">
        <is>
          <t>6493. 00. REP-ERT 4476 RCL PROYECTO TERUEL PLANTA BAJA CAT</t>
        </is>
      </c>
      <c r="H232" s="55" t="inlineStr">
        <is>
          <t>RCL (dmad)</t>
        </is>
      </c>
      <c r="I232" s="55" t="inlineStr">
        <is>
          <t xml:space="preserve">Manel </t>
        </is>
      </c>
      <c r="J232" s="55" t="inlineStr">
        <is>
          <t>Angela</t>
        </is>
      </c>
      <c r="K232" s="55" t="inlineStr">
        <is>
          <t>Fabricación</t>
        </is>
      </c>
      <c r="L232" s="55" t="e">
        <v>#REF!</v>
      </c>
      <c r="M232" s="59" t="inlineStr">
        <is>
          <t xml:space="preserve">Comprobar medidas listones madera </t>
        </is>
      </c>
      <c r="N232" s="55" t="inlineStr">
        <is>
          <t>Reposición al cliente</t>
        </is>
      </c>
      <c r="O232" s="46" t="inlineStr">
        <is>
          <t xml:space="preserve">Reponemos 18 ECOnordik. Al cliente le llegan ECOnordiks de disntintas dimensiones. </t>
        </is>
      </c>
      <c r="P232" s="101" t="n">
        <v>2425.5</v>
      </c>
      <c r="Q232" s="102" t="n"/>
      <c r="R232" s="102" t="n"/>
      <c r="S232" s="55" t="e">
        <v>#REF!</v>
      </c>
    </row>
    <row r="233" ht="30" customHeight="1">
      <c r="A233" s="50" t="inlineStr">
        <is>
          <t>CP236</t>
        </is>
      </c>
      <c r="B233" s="50" t="inlineStr">
        <is>
          <t>CERRADA</t>
        </is>
      </c>
      <c r="C233" s="51" t="n"/>
      <c r="D233" s="52" t="n"/>
      <c r="E233" s="53" t="n">
        <v>45588</v>
      </c>
      <c r="F233" s="81" t="n">
        <v>5363</v>
      </c>
      <c r="G233" s="82" t="inlineStr">
        <is>
          <t>6496. 02. REP-ERT 5363. 03. TETRIS HAUFE BARCELONA CAT</t>
        </is>
      </c>
      <c r="H233" s="82" t="inlineStr">
        <is>
          <t>TETRIS</t>
        </is>
      </c>
      <c r="I233" s="82" t="inlineStr">
        <is>
          <t>Manel</t>
        </is>
      </c>
      <c r="J233" s="82" t="inlineStr">
        <is>
          <t>Angela</t>
        </is>
      </c>
      <c r="K233" s="82" t="inlineStr">
        <is>
          <t>Error técnico</t>
        </is>
      </c>
      <c r="L233" s="82" t="e">
        <v>#REF!</v>
      </c>
      <c r="M233" s="83" t="inlineStr">
        <is>
          <t>Revisar la orden del cliente antes de poner en marcha el pedido</t>
        </is>
      </c>
      <c r="N233" s="82" t="inlineStr">
        <is>
          <t>Negociado con cliente se hacen cargo de parte 60% y enviar los paneles correctos</t>
        </is>
      </c>
      <c r="O233" s="84" t="inlineStr">
        <is>
          <t>29 ud ECOWALL V-CUT BLUE El cliente pidió color BLUE de panel y se le envió BLUE GREEN  cuando querían realmente dark blue</t>
        </is>
      </c>
      <c r="P233" s="85" t="n">
        <v>3485</v>
      </c>
      <c r="Q233" s="99" t="n"/>
      <c r="R233" s="99" t="n"/>
      <c r="S233" s="50" t="e">
        <v>#REF!</v>
      </c>
    </row>
    <row r="234" ht="30" customHeight="1">
      <c r="A234" s="55" t="inlineStr">
        <is>
          <t>CP237</t>
        </is>
      </c>
      <c r="B234" s="55" t="inlineStr">
        <is>
          <t>CERRADA</t>
        </is>
      </c>
      <c r="C234" s="56" t="n"/>
      <c r="E234" s="58" t="n">
        <v>45588</v>
      </c>
      <c r="F234" s="86" t="n">
        <v>4100</v>
      </c>
      <c r="G234" s="87" t="inlineStr">
        <is>
          <t>6495. 00. REP-FC. 4100. 00. ANIBAL GARCÍA RODRÍGUEZ ECO CEILI</t>
        </is>
      </c>
      <c r="H234" s="87" t="inlineStr">
        <is>
          <t>ANIBAL GARCIA</t>
        </is>
      </c>
      <c r="I234" s="87" t="inlineStr">
        <is>
          <t>Jorge Blanco</t>
        </is>
      </c>
      <c r="J234" s="87" t="inlineStr">
        <is>
          <t>Luis</t>
        </is>
      </c>
      <c r="K234" s="87" t="inlineStr">
        <is>
          <t>Falta Componentes</t>
        </is>
      </c>
      <c r="L234" s="87" t="e">
        <v>#REF!</v>
      </c>
      <c r="M234" s="88" t="inlineStr">
        <is>
          <t>Revisar que salga toda la mercancía pedida</t>
        </is>
      </c>
      <c r="N234" s="87" t="inlineStr">
        <is>
          <t>Enviar la mercancía que no se llegó a enviar</t>
        </is>
      </c>
      <c r="O234" s="89" t="inlineStr">
        <is>
          <t xml:space="preserve">Reponemos 3 anclajes B y 3 ECOnordik. No enviamos 6 piezas de ECOnordik(3ECOnordik partidos en dos piezas). Se envió el pedido completo sin los ECOnordik y faltan 2 anclajes y uno está roto. </t>
        </is>
      </c>
      <c r="P234" s="90" t="n">
        <v>495.9</v>
      </c>
      <c r="Q234" s="102" t="n"/>
      <c r="R234" s="102" t="n"/>
      <c r="S234" s="55" t="e">
        <v>#REF!</v>
      </c>
    </row>
    <row r="235" ht="30" customHeight="1">
      <c r="A235" s="50" t="inlineStr">
        <is>
          <t>CP238</t>
        </is>
      </c>
      <c r="B235" s="50" t="inlineStr">
        <is>
          <t>CERRADA</t>
        </is>
      </c>
      <c r="C235" s="51" t="n"/>
      <c r="D235" s="52" t="n"/>
      <c r="E235" s="53" t="n">
        <v>45588</v>
      </c>
      <c r="F235" s="81" t="n">
        <v>5398</v>
      </c>
      <c r="G235" s="82" t="inlineStr">
        <is>
          <t>6467.00 REP-ERT. 5398. 00. CREASTIL REF-PCOM-2024_32 OTOGREEN CV</t>
        </is>
      </c>
      <c r="H235" s="82" t="inlineStr">
        <is>
          <t>creastil</t>
        </is>
      </c>
      <c r="I235" s="82" t="inlineStr">
        <is>
          <t>Javier Hernández</t>
        </is>
      </c>
      <c r="J235" s="50" t="inlineStr">
        <is>
          <t>Belén</t>
        </is>
      </c>
      <c r="K235" s="82" t="inlineStr">
        <is>
          <t>Error técnico</t>
        </is>
      </c>
      <c r="L235" s="82" t="e">
        <v>#REF!</v>
      </c>
      <c r="M235" s="83" t="inlineStr">
        <is>
          <t>Que todo color tenga su código correspondiente</t>
        </is>
      </c>
      <c r="N235" s="82" t="inlineStr">
        <is>
          <t>Reponer el divider 70. No recogemos la mercancía, se lo quedan 60%</t>
        </is>
      </c>
      <c r="O235" s="84" t="inlineStr">
        <is>
          <t>2 unidades El cliente pidió un divider 70 en color rojo, se le mandó el terracota ECO-108. Lo necesitan en rojo ECO-117</t>
        </is>
      </c>
      <c r="P235" s="85" t="n">
        <v>270.8</v>
      </c>
      <c r="Q235" s="99" t="n"/>
      <c r="R235" s="99" t="n"/>
      <c r="S235" s="50" t="e">
        <v>#REF!</v>
      </c>
    </row>
    <row r="236" ht="30" customHeight="1">
      <c r="A236" s="55" t="inlineStr">
        <is>
          <t>CP239</t>
        </is>
      </c>
      <c r="B236" s="55" t="inlineStr">
        <is>
          <t>CERRADA</t>
        </is>
      </c>
      <c r="C236" s="56" t="n"/>
      <c r="E236" s="58" t="n">
        <v>45589</v>
      </c>
      <c r="F236" s="57" t="n">
        <v>4600</v>
      </c>
      <c r="G236" s="55" t="inlineStr">
        <is>
          <t>6530. 01. REP-ERT. 4600.00 IDEAS INTERIORISMO HINOJOSA ECOPRINT PE</t>
        </is>
      </c>
      <c r="H236" s="55" t="inlineStr">
        <is>
          <t>IDEAS INTERIORISMO</t>
        </is>
      </c>
      <c r="I236" s="55" t="inlineStr">
        <is>
          <t>Javier Hernandez</t>
        </is>
      </c>
      <c r="J236" s="55" t="inlineStr">
        <is>
          <t>Luis</t>
        </is>
      </c>
      <c r="K236" s="55" t="inlineStr">
        <is>
          <t>Error técnico</t>
        </is>
      </c>
      <c r="L236" s="55" t="e">
        <v>#REF!</v>
      </c>
      <c r="M236" s="59" t="inlineStr">
        <is>
          <t>Revisar dos veces los pedidos de los cliente</t>
        </is>
      </c>
      <c r="N236" s="55" t="inlineStr">
        <is>
          <t>Reponer sin coste 2 paneles ECOprint 12mm</t>
        </is>
      </c>
      <c r="O236" s="46" t="inlineStr">
        <is>
          <t>2 paneles que pidieron eco-108 y se han hecho eco-112</t>
        </is>
      </c>
      <c r="P236" s="101" t="n">
        <v>840</v>
      </c>
      <c r="Q236" s="102" t="n"/>
      <c r="R236" s="102" t="n"/>
      <c r="S236" s="55" t="e">
        <v>#REF!</v>
      </c>
    </row>
    <row r="237" ht="30" customHeight="1">
      <c r="A237" s="50" t="inlineStr">
        <is>
          <t>CP240</t>
        </is>
      </c>
      <c r="B237" s="50" t="inlineStr">
        <is>
          <t>CERRADA</t>
        </is>
      </c>
      <c r="C237" s="51" t="n"/>
      <c r="D237" s="52" t="n"/>
      <c r="E237" s="53" t="n">
        <v>45595</v>
      </c>
      <c r="F237" s="52" t="n">
        <v>1887</v>
      </c>
      <c r="G237" s="50" t="inlineStr">
        <is>
          <t>6697. 06. REP-ERT. 1887. MOL PROJECT_CAPEXUS_OFFICES_CZ</t>
        </is>
      </c>
      <c r="H237" s="50" t="inlineStr">
        <is>
          <t>CAPEXUS</t>
        </is>
      </c>
      <c r="I237" s="50" t="inlineStr">
        <is>
          <t>Rafik</t>
        </is>
      </c>
      <c r="J237" s="50" t="inlineStr">
        <is>
          <t>Luis</t>
        </is>
      </c>
      <c r="K237" s="50" t="inlineStr">
        <is>
          <t>Error técnico</t>
        </is>
      </c>
      <c r="L237" s="50" t="e">
        <v>#REF!</v>
      </c>
      <c r="M237" s="54" t="inlineStr">
        <is>
          <t>Compronar que los paneels cuadran en diseño antes de lanzar el epdido a produccion</t>
        </is>
      </c>
      <c r="N237" s="50" t="inlineStr">
        <is>
          <t>reponer sin coste paneles vcut y volume</t>
        </is>
      </c>
      <c r="O237" s="47" t="inlineStr">
        <is>
          <t>paneles vcut que no cuadran los biseles y volume que no cuadra la composicion</t>
        </is>
      </c>
      <c r="P237" s="98" t="n">
        <v>11311.3</v>
      </c>
      <c r="Q237" s="99" t="n"/>
      <c r="R237" s="99" t="n"/>
      <c r="S237" s="50" t="e">
        <v>#REF!</v>
      </c>
    </row>
    <row r="238" ht="30" customHeight="1">
      <c r="A238" s="55" t="inlineStr">
        <is>
          <t>CP241</t>
        </is>
      </c>
      <c r="B238" s="55" t="inlineStr">
        <is>
          <t>CERRADA</t>
        </is>
      </c>
      <c r="C238" s="56" t="n"/>
      <c r="E238" s="58" t="n">
        <v>45600</v>
      </c>
      <c r="F238" s="57" t="n">
        <v>5930</v>
      </c>
      <c r="G238" s="55" t="inlineStr">
        <is>
          <t>6746. 00. REP-ERT. 5930. 00. INAB V-CUT BCN</t>
        </is>
      </c>
      <c r="H238" s="55" t="inlineStr">
        <is>
          <t>INAB</t>
        </is>
      </c>
      <c r="I238" s="55" t="inlineStr">
        <is>
          <t>-</t>
        </is>
      </c>
      <c r="J238" s="55" t="inlineStr">
        <is>
          <t>Belén</t>
        </is>
      </c>
      <c r="K238" s="55" t="inlineStr">
        <is>
          <t>Error técnico</t>
        </is>
      </c>
      <c r="L238" s="55" t="e">
        <v>#REF!</v>
      </c>
      <c r="M238" s="59" t="inlineStr">
        <is>
          <t>Comprobar las medidas en el DXF</t>
        </is>
      </c>
      <c r="N238" s="55" t="inlineStr">
        <is>
          <t>Reponer 2 paneles V-cut/ECObasic según despiece</t>
        </is>
      </c>
      <c r="O238" s="46" t="inlineStr">
        <is>
          <t>Se han mandado los V-cut a la medida de 2,34m en vez de 2,4m. La junta la querían biselada y no se hizo así</t>
        </is>
      </c>
      <c r="P238" s="101" t="n">
        <v>597.74</v>
      </c>
      <c r="Q238" s="102" t="n"/>
      <c r="R238" s="102" t="n"/>
      <c r="S238" s="55" t="e">
        <v>#REF!</v>
      </c>
    </row>
    <row r="239" ht="30" customHeight="1">
      <c r="A239" s="50" t="inlineStr">
        <is>
          <t>CP242</t>
        </is>
      </c>
      <c r="B239" s="50" t="inlineStr">
        <is>
          <t>CERRADA</t>
        </is>
      </c>
      <c r="C239" s="51" t="n"/>
      <c r="D239" s="52" t="n"/>
      <c r="E239" s="53" t="n">
        <v>45600</v>
      </c>
      <c r="F239" s="52" t="n">
        <v>6133</v>
      </c>
      <c r="G239" s="50" t="inlineStr">
        <is>
          <t>6756. 00. REP-IT. 6133. AMPL PROJECTO ANYLOGIC_REOFFICE_ECO</t>
        </is>
      </c>
      <c r="H239" s="50" t="inlineStr">
        <is>
          <t>REOFFICE</t>
        </is>
      </c>
      <c r="I239" s="50" t="inlineStr">
        <is>
          <t>Paulo</t>
        </is>
      </c>
      <c r="J239" s="50" t="inlineStr">
        <is>
          <t>Luis</t>
        </is>
      </c>
      <c r="K239" s="50" t="inlineStr">
        <is>
          <t>Transporte</t>
        </is>
      </c>
      <c r="L239" s="50" t="e">
        <v>#REF!</v>
      </c>
      <c r="M239" s="54" t="inlineStr">
        <is>
          <t>proteger mejor los paneles</t>
        </is>
      </c>
      <c r="N239" s="50" t="inlineStr">
        <is>
          <t>reponer 1 panel ecowall emotion</t>
        </is>
      </c>
      <c r="O239" s="47" t="inlineStr">
        <is>
          <t>han llegado tocados los paneels de este pedido</t>
        </is>
      </c>
      <c r="P239" s="98" t="n">
        <v>264</v>
      </c>
      <c r="Q239" s="99" t="n"/>
      <c r="R239" s="99" t="n"/>
      <c r="S239" s="50" t="e">
        <v>#REF!</v>
      </c>
    </row>
    <row r="240" ht="30" customHeight="1">
      <c r="A240" s="55" t="inlineStr">
        <is>
          <t>CP243</t>
        </is>
      </c>
      <c r="B240" s="55" t="inlineStr">
        <is>
          <t>CERRADA</t>
        </is>
      </c>
      <c r="C240" s="56" t="n"/>
      <c r="E240" s="58" t="n">
        <v>45600</v>
      </c>
      <c r="F240" s="57" t="n">
        <v>4422</v>
      </c>
      <c r="G240" s="55" t="inlineStr">
        <is>
          <t>6765. 06. REP-ERF. 4422. DELOITTE FINAL_ARCHITEXTURE_QUADR</t>
        </is>
      </c>
      <c r="H240" s="55" t="inlineStr">
        <is>
          <t>ARCHITEXTURE</t>
        </is>
      </c>
      <c r="I240" s="55" t="inlineStr">
        <is>
          <t>Iciar</t>
        </is>
      </c>
      <c r="J240" s="55" t="inlineStr">
        <is>
          <t>Luis</t>
        </is>
      </c>
      <c r="K240" s="55" t="inlineStr">
        <is>
          <t>Fabricación</t>
        </is>
      </c>
      <c r="L240" s="55" t="e">
        <v>#REF!</v>
      </c>
      <c r="M240" s="59" t="inlineStr">
        <is>
          <t>revisar el corte de los paneles antes de enviar</t>
        </is>
      </c>
      <c r="N240" s="55" t="inlineStr">
        <is>
          <t>repetir las piezas</t>
        </is>
      </c>
      <c r="O240" s="46" t="inlineStr">
        <is>
          <t>los biseles no se han hecho lo suficientemente profundos y las piezas no pliegan bien</t>
        </is>
      </c>
      <c r="P240" s="101" t="n">
        <v>6006.24</v>
      </c>
      <c r="Q240" s="102" t="n"/>
      <c r="R240" s="102" t="n"/>
      <c r="S240" s="55" t="e">
        <v>#REF!</v>
      </c>
    </row>
    <row r="241" ht="30" customHeight="1">
      <c r="A241" s="50" t="inlineStr">
        <is>
          <t>CP244</t>
        </is>
      </c>
      <c r="B241" s="50" t="inlineStr">
        <is>
          <t>CERRADA</t>
        </is>
      </c>
      <c r="C241" s="51" t="n"/>
      <c r="D241" s="52" t="n"/>
      <c r="E241" s="53" t="n">
        <v>45602</v>
      </c>
      <c r="F241" s="52" t="n">
        <v>4864</v>
      </c>
      <c r="G241" s="50" t="inlineStr">
        <is>
          <t>6831. 01. REP-IT. 4864 AMPA SANT JORDI FOAM COLEGIO CAT</t>
        </is>
      </c>
      <c r="H241" s="50" t="inlineStr">
        <is>
          <t>QUIM SERRAT</t>
        </is>
      </c>
      <c r="I241" s="50" t="inlineStr">
        <is>
          <t>MANEL</t>
        </is>
      </c>
      <c r="J241" s="50" t="inlineStr">
        <is>
          <t>Angela</t>
        </is>
      </c>
      <c r="K241" s="50" t="inlineStr">
        <is>
          <t>Transporte</t>
        </is>
      </c>
      <c r="L241" s="50" t="e">
        <v>#REF!</v>
      </c>
      <c r="M241" s="54" t="inlineStr">
        <is>
          <t>proteger mejor paneles sobre todo cuando vaya pintado y ojo a plantillas</t>
        </is>
      </c>
      <c r="N241" s="50" t="inlineStr">
        <is>
          <t>enviar 1 isla y plantillas</t>
        </is>
      </c>
      <c r="O241" s="47" t="inlineStr">
        <is>
          <t>Le llegaron dos islas dañadas, solo nos reclama una a reponer, también les faltaron las plantillas de cartón</t>
        </is>
      </c>
      <c r="P241" s="98" t="n">
        <v>131</v>
      </c>
      <c r="Q241" s="99" t="inlineStr">
        <is>
          <t>PVP</t>
        </is>
      </c>
      <c r="R241" s="99" t="n"/>
      <c r="S241" s="50" t="e">
        <v>#REF!</v>
      </c>
    </row>
    <row r="242" ht="60" customHeight="1">
      <c r="A242" s="55" t="inlineStr">
        <is>
          <t>CP245</t>
        </is>
      </c>
      <c r="B242" s="55" t="inlineStr">
        <is>
          <t>CERRADA</t>
        </is>
      </c>
      <c r="C242" s="56" t="n"/>
      <c r="E242" s="58" t="n">
        <v>45602</v>
      </c>
      <c r="F242" s="57" t="n">
        <v>5529</v>
      </c>
      <c r="G242" s="55" t="inlineStr">
        <is>
          <t>6840. 00. REP-DC. 5529. LA PREEMINENTE AMP PEDIDO</t>
        </is>
      </c>
      <c r="H242" s="55" t="inlineStr">
        <is>
          <t>LA PREEMINENTE</t>
        </is>
      </c>
      <c r="I242" s="55" t="inlineStr">
        <is>
          <t>MANEL</t>
        </is>
      </c>
      <c r="J242" s="55" t="inlineStr">
        <is>
          <t>Angela</t>
        </is>
      </c>
      <c r="K242" s="55" t="inlineStr">
        <is>
          <t>Defecto por cliente</t>
        </is>
      </c>
      <c r="L242" s="55" t="e">
        <v>#REF!</v>
      </c>
      <c r="M242" s="59" t="inlineStr">
        <is>
          <t>Aconsejar mejor al cliente para que no tenga errores</t>
        </is>
      </c>
      <c r="N242" s="55" t="inlineStr">
        <is>
          <t>Enviar un panel para que termine instalación, al 80%</t>
        </is>
      </c>
      <c r="O242" s="46" t="inlineStr">
        <is>
          <t>El cliente instaló mal y no se lo aceptan por cortes en obra mal ejecutados. Posteriormente hizo varios pedidos más de sólo cortes, pero hay una pared que pidió cortada a medida pero al estar desplomada falta un poco de panel y no se lo aceptan por lo que pide panel entero para cortar en obra. Vendemos al 80%</t>
        </is>
      </c>
      <c r="P242" s="101" t="inlineStr">
        <is>
          <t>abona 80%</t>
        </is>
      </c>
      <c r="Q242" s="102" t="n"/>
      <c r="R242" s="102" t="n"/>
      <c r="S242" s="55" t="e">
        <v>#REF!</v>
      </c>
    </row>
    <row r="243" ht="30" customHeight="1">
      <c r="A243" s="50" t="inlineStr">
        <is>
          <t>CP246</t>
        </is>
      </c>
      <c r="B243" s="50" t="inlineStr">
        <is>
          <t>CERRADA</t>
        </is>
      </c>
      <c r="C243" s="51" t="n"/>
      <c r="D243" s="52" t="n"/>
      <c r="E243" s="53" t="n">
        <v>45608</v>
      </c>
      <c r="F243" s="52" t="n">
        <v>2348</v>
      </c>
      <c r="G243" s="50" t="inlineStr">
        <is>
          <t>6976. 03. REP-IT. 2348. OP1_K+N P4_UNEN RECTANGULO 3D FOAM</t>
        </is>
      </c>
      <c r="H243" s="50" t="inlineStr">
        <is>
          <t>UNEN</t>
        </is>
      </c>
      <c r="I243" s="50" t="inlineStr">
        <is>
          <t>Paulo</t>
        </is>
      </c>
      <c r="J243" s="50" t="inlineStr">
        <is>
          <t>Luis</t>
        </is>
      </c>
      <c r="K243" s="50" t="inlineStr">
        <is>
          <t>Transporte</t>
        </is>
      </c>
      <c r="L243" s="50" t="e">
        <v>#REF!</v>
      </c>
      <c r="M243" s="54" t="inlineStr">
        <is>
          <t>proteger mejor los paneles</t>
        </is>
      </c>
      <c r="N243" s="50" t="inlineStr">
        <is>
          <t>Repetir una isla de foam pintada</t>
        </is>
      </c>
      <c r="O243" s="47" t="inlineStr">
        <is>
          <t>Ha llegado una isla con un canto desconchado. El cliente no puede arreglarlo in situ</t>
        </is>
      </c>
      <c r="P243" s="98" t="n">
        <v>158.56</v>
      </c>
      <c r="Q243" s="99" t="n"/>
      <c r="R243" s="99" t="n"/>
      <c r="S243" s="50" t="e">
        <v>#REF!</v>
      </c>
    </row>
    <row r="244" ht="30" customHeight="1">
      <c r="A244" s="55" t="inlineStr">
        <is>
          <t>CP247</t>
        </is>
      </c>
      <c r="B244" s="55" t="inlineStr">
        <is>
          <t>CERRADA</t>
        </is>
      </c>
      <c r="C244" s="56" t="n"/>
      <c r="E244" s="58" t="n">
        <v>45608</v>
      </c>
      <c r="F244" s="57" t="n">
        <v>5730</v>
      </c>
      <c r="G244" s="55" t="inlineStr">
        <is>
          <t>6993.00. REP-ERT 5730. REP-ERT POTS PINTURES REST EL POSIT LA PINEDA CAT</t>
        </is>
      </c>
      <c r="H244" s="55" t="inlineStr">
        <is>
          <t>POTS PINTURES</t>
        </is>
      </c>
      <c r="I244" s="55" t="inlineStr">
        <is>
          <t>MANEL</t>
        </is>
      </c>
      <c r="J244" s="55" t="inlineStr">
        <is>
          <t>Angela</t>
        </is>
      </c>
      <c r="K244" s="55" t="inlineStr">
        <is>
          <t>Error técnico</t>
        </is>
      </c>
      <c r="L244" s="55" t="e">
        <v>#REF!</v>
      </c>
      <c r="M244" s="59" t="inlineStr">
        <is>
          <t>Hacer los pedidos complejos con mas calma</t>
        </is>
      </c>
      <c r="N244" s="55" t="inlineStr">
        <is>
          <t>REPETIR TODO EL PEDIDO Y RECOGER EL ANTIGUO PARA PODER VENDER</t>
        </is>
      </c>
      <c r="O244" s="46" t="inlineStr">
        <is>
          <t>ERAN CUADROS DE DOS COLORES Y SE HA PINTADO erroneos por error técnico.</t>
        </is>
      </c>
      <c r="P244" s="101" t="n">
        <v>5422</v>
      </c>
      <c r="Q244" s="102" t="n"/>
      <c r="R244" s="102" t="n"/>
      <c r="S244" s="55" t="e">
        <v>#REF!</v>
      </c>
    </row>
    <row r="245" ht="30" customHeight="1">
      <c r="A245" s="50" t="inlineStr">
        <is>
          <t>CP248</t>
        </is>
      </c>
      <c r="B245" s="50" t="inlineStr">
        <is>
          <t>CERRADA</t>
        </is>
      </c>
      <c r="C245" s="51" t="n"/>
      <c r="D245" s="52" t="n"/>
      <c r="E245" s="53" t="n">
        <v>45608</v>
      </c>
      <c r="F245" s="52" t="n">
        <v>4841</v>
      </c>
      <c r="G245" s="50" t="inlineStr">
        <is>
          <t>REP-ERT. 4841. 00. ISOLANA SALAS VIP BEAUTY CENTER CAT</t>
        </is>
      </c>
      <c r="H245" s="50" t="inlineStr">
        <is>
          <t>ISOLANA</t>
        </is>
      </c>
      <c r="I245" s="50" t="inlineStr">
        <is>
          <t>MANEL</t>
        </is>
      </c>
      <c r="J245" s="50" t="inlineStr">
        <is>
          <t>Angela</t>
        </is>
      </c>
      <c r="K245" s="50" t="inlineStr">
        <is>
          <t>Error técnico</t>
        </is>
      </c>
      <c r="L245" s="50" t="e">
        <v>#REF!</v>
      </c>
      <c r="M245" s="54" t="inlineStr">
        <is>
          <t xml:space="preserve">Actualizar archivos de corte </t>
        </is>
      </c>
      <c r="N245" s="50" t="inlineStr">
        <is>
          <t>ENVIAR 2 unidades  con descuento 80 % y se quedan el resto</t>
        </is>
      </c>
      <c r="O245" s="47" t="inlineStr">
        <is>
          <t xml:space="preserve">Se cogió un archivo de corte no correcto. Cuando van a unir las diferentes piezas hay unas que tienen un ancho distinto. </t>
        </is>
      </c>
      <c r="P245" s="98" t="inlineStr">
        <is>
          <t>abona 80%</t>
        </is>
      </c>
      <c r="Q245" s="99" t="n"/>
      <c r="R245" s="99" t="n"/>
      <c r="S245" s="50" t="e">
        <v>#REF!</v>
      </c>
    </row>
    <row r="246" ht="60" customHeight="1">
      <c r="A246" s="55" t="inlineStr">
        <is>
          <t>CP249</t>
        </is>
      </c>
      <c r="B246" s="55" t="inlineStr">
        <is>
          <t>CERRADA</t>
        </is>
      </c>
      <c r="C246" s="56" t="n"/>
      <c r="E246" s="58" t="n">
        <v>45609</v>
      </c>
      <c r="F246" s="57" t="n">
        <v>5555</v>
      </c>
      <c r="G246" s="55" t="inlineStr">
        <is>
          <t>7048. 00. REP-DC 5555. 00. DECOBRIC V-CUT CV</t>
        </is>
      </c>
      <c r="H246" s="55" t="inlineStr">
        <is>
          <t>DECOBRIC</t>
        </is>
      </c>
      <c r="I246" s="55" t="inlineStr">
        <is>
          <t>-</t>
        </is>
      </c>
      <c r="J246" s="55" t="inlineStr">
        <is>
          <t>Belén</t>
        </is>
      </c>
      <c r="K246" s="55" t="inlineStr">
        <is>
          <t>Defecto por cliente</t>
        </is>
      </c>
      <c r="L246" s="55" t="e">
        <v>#REF!</v>
      </c>
      <c r="M246" s="59" t="inlineStr">
        <is>
          <t>Recordarles que si el paquete llega dañado lo comuniquen inmediatamente en el albarán del transporte, en este caso parece haberse golpeado a posteriori</t>
        </is>
      </c>
      <c r="N246" s="55" t="inlineStr">
        <is>
          <t>ENVIAR 2ud V-cut NEW EW203 EW202 ECO-107 al 100%</t>
        </is>
      </c>
      <c r="O246" s="91" t="inlineStr">
        <is>
          <t>Muchos paneles golpeados, el cliente pide repo de 2ud. El cliente ha salvado el resto del pedido y solo nos ha pedido reposición de 2 unidades, aunque parece ser que el incidencia del cliente por golpearlo a posteirori, Alejandro autoriza enviar las ud</t>
        </is>
      </c>
      <c r="P246" s="101" t="n">
        <v>847</v>
      </c>
      <c r="S246" s="55" t="e">
        <v>#REF!</v>
      </c>
    </row>
    <row r="247" ht="30" customHeight="1">
      <c r="A247" s="50" t="inlineStr">
        <is>
          <t>CP249</t>
        </is>
      </c>
      <c r="B247" s="50" t="inlineStr">
        <is>
          <t>CERRADA</t>
        </is>
      </c>
      <c r="C247" s="51" t="n"/>
      <c r="D247" s="52" t="n"/>
      <c r="E247" s="53" t="n">
        <v>45610</v>
      </c>
      <c r="F247" s="52" t="n">
        <v>6408</v>
      </c>
      <c r="G247" s="50" t="inlineStr">
        <is>
          <t>7077. 00. REP-FP 6408. 00. SERINAC 7377. 01. AA HERMANOS MOREGO CLOUD AND</t>
        </is>
      </c>
      <c r="H247" s="50" t="inlineStr">
        <is>
          <t>SERINAC</t>
        </is>
      </c>
      <c r="I247" s="50" t="inlineStr">
        <is>
          <t>Javier López</t>
        </is>
      </c>
      <c r="J247" s="50" t="inlineStr">
        <is>
          <t>Mónica</t>
        </is>
      </c>
      <c r="K247" s="50" t="inlineStr">
        <is>
          <t>Falta Paneles</t>
        </is>
      </c>
      <c r="L247" s="50" t="e">
        <v>#REF!</v>
      </c>
      <c r="M247" s="54" t="inlineStr">
        <is>
          <t>Contabilizar los paneles tras el corte y durante el empaquetado</t>
        </is>
      </c>
      <c r="N247" s="50" t="inlineStr">
        <is>
          <t>Enviar 2 paneles que le faltaron al cliente</t>
        </is>
      </c>
      <c r="O247" s="47" t="inlineStr">
        <is>
          <t>No se enviaron 2 UDS Cloud D1170 ECO-101</t>
        </is>
      </c>
      <c r="P247" s="98" t="n">
        <v>154.88</v>
      </c>
      <c r="Q247" s="99" t="n"/>
      <c r="R247" s="99" t="n"/>
      <c r="S247" s="50" t="e">
        <v>#REF!</v>
      </c>
    </row>
    <row r="248" ht="45" customHeight="1">
      <c r="A248" s="55" t="inlineStr">
        <is>
          <t>CP250</t>
        </is>
      </c>
      <c r="B248" s="55" t="inlineStr">
        <is>
          <t>CERRADA</t>
        </is>
      </c>
      <c r="C248" s="56" t="n"/>
      <c r="E248" s="58" t="n">
        <v>45614</v>
      </c>
      <c r="F248" s="57" t="n">
        <v>5011</v>
      </c>
      <c r="G248" s="55" t="inlineStr">
        <is>
          <t xml:space="preserve">5011. 00. REP-COM. 5011. 01. OBRES LLORET 300724 CAT </t>
        </is>
      </c>
      <c r="H248" s="55" t="inlineStr">
        <is>
          <t>OBRES TECNIQUES LLORET</t>
        </is>
      </c>
      <c r="I248" s="55" t="inlineStr">
        <is>
          <t>Manel</t>
        </is>
      </c>
      <c r="J248" s="55" t="inlineStr">
        <is>
          <t>Emilio</t>
        </is>
      </c>
      <c r="K248" s="55" t="inlineStr">
        <is>
          <t>Defecto por comercial</t>
        </is>
      </c>
      <c r="L248" s="55" t="e">
        <v>#REF!</v>
      </c>
      <c r="M248" s="59" t="inlineStr">
        <is>
          <t>Revisión de confirmaciones de pedido, transmitir modificaciones de importe con el agente/comercial implicado</t>
        </is>
      </c>
      <c r="N248" s="55" t="inlineStr">
        <is>
          <t>Facturar paneles lisos en lugar de biselados</t>
        </is>
      </c>
      <c r="O248" s="46" t="inlineStr">
        <is>
          <t>El presupuesto solicitado contempla basics, solicitado por Manel. A la hora de tramitar el pedido se cambia el modelo a v-cut sin informar al cliente sobre el cambio en el importe</t>
        </is>
      </c>
      <c r="P248" s="101" t="n">
        <v>1620</v>
      </c>
      <c r="Q248" s="102" t="n"/>
      <c r="R248" s="102" t="n"/>
      <c r="S248" s="55" t="e">
        <v>#REF!</v>
      </c>
    </row>
    <row r="249" ht="30" customHeight="1">
      <c r="A249" s="50" t="inlineStr">
        <is>
          <t>CP251</t>
        </is>
      </c>
      <c r="B249" s="50" t="inlineStr">
        <is>
          <t>CERRADA</t>
        </is>
      </c>
      <c r="C249" s="51" t="n"/>
      <c r="D249" s="52" t="n"/>
      <c r="E249" s="53" t="n">
        <v>45614</v>
      </c>
      <c r="F249" s="52" t="n">
        <v>6522</v>
      </c>
      <c r="G249" s="50" t="inlineStr">
        <is>
          <t>7163. 00. REP-ERF. 6522. ABSOTEC EC34 P.24.263 Y MS CYL</t>
        </is>
      </c>
      <c r="H249" s="50" t="inlineStr">
        <is>
          <t>ABSOTEC</t>
        </is>
      </c>
      <c r="I249" s="50" t="inlineStr">
        <is>
          <t>Roberto</t>
        </is>
      </c>
      <c r="J249" s="50" t="inlineStr">
        <is>
          <t>Roberto</t>
        </is>
      </c>
      <c r="K249" s="50" t="inlineStr">
        <is>
          <t>Fabricación</t>
        </is>
      </c>
      <c r="L249" s="50" t="e">
        <v>#REF!</v>
      </c>
      <c r="M249" s="54" t="inlineStr">
        <is>
          <t>Deben estar pendientes de cortar el dxf correcto</t>
        </is>
      </c>
      <c r="N249" s="50" t="inlineStr">
        <is>
          <t>Reponer los 4 paneles correctamente</t>
        </is>
      </c>
      <c r="O249" s="47" t="inlineStr">
        <is>
          <t>Reponer 4 ECObasic +50ml corte. Pedido con varios paneles para muestras de distintos colores y diseño parecido y se corta el mismo dxf para todos los paneles de muestras.</t>
        </is>
      </c>
      <c r="P249" s="98" t="n">
        <v>400</v>
      </c>
      <c r="Q249" s="99" t="n"/>
      <c r="R249" s="99" t="n"/>
      <c r="S249" s="50" t="e">
        <v>#REF!</v>
      </c>
    </row>
    <row r="250" ht="30" customHeight="1">
      <c r="A250" s="55" t="inlineStr">
        <is>
          <t>CP250</t>
        </is>
      </c>
      <c r="B250" s="55" t="inlineStr">
        <is>
          <t>CERRADA</t>
        </is>
      </c>
      <c r="C250" s="56" t="n"/>
      <c r="E250" s="58" t="n">
        <v>45615</v>
      </c>
      <c r="F250" s="57" t="n">
        <v>6137</v>
      </c>
      <c r="G250" s="55" t="inlineStr">
        <is>
          <t>7205. 00. REP-ERF - 6137 FROO_JOYE_ECONORDIK_BE</t>
        </is>
      </c>
      <c r="H250" s="55" t="inlineStr">
        <is>
          <t>JOYE</t>
        </is>
      </c>
      <c r="I250" s="55" t="inlineStr">
        <is>
          <t>Daniel</t>
        </is>
      </c>
      <c r="J250" s="55" t="inlineStr">
        <is>
          <t>Luis</t>
        </is>
      </c>
      <c r="K250" s="55" t="inlineStr">
        <is>
          <t>Fabricación</t>
        </is>
      </c>
      <c r="L250" s="55" t="e">
        <v>#REF!</v>
      </c>
      <c r="M250" s="59" t="inlineStr">
        <is>
          <t>Estar al tanto cuando se fabrica ECOnordik</t>
        </is>
      </c>
      <c r="N250" s="55" t="inlineStr">
        <is>
          <t>Enviar 3 paneles dañados</t>
        </is>
      </c>
      <c r="O250" s="46" t="inlineStr">
        <is>
          <t>Los paneles tienen lamas dañadas y también lamas ás grandes</t>
        </is>
      </c>
      <c r="P250" s="101" t="n">
        <v>315</v>
      </c>
      <c r="S250" s="55" t="e">
        <v>#REF!</v>
      </c>
    </row>
    <row r="251" ht="45" customHeight="1">
      <c r="A251" s="50" t="inlineStr">
        <is>
          <t>CP253</t>
        </is>
      </c>
      <c r="B251" s="50" t="inlineStr">
        <is>
          <t>CERRADA</t>
        </is>
      </c>
      <c r="C251" s="51" t="n"/>
      <c r="D251" s="52" t="n"/>
      <c r="E251" s="53" t="n">
        <v>45617</v>
      </c>
      <c r="F251" s="52" t="n">
        <v>5850</v>
      </c>
      <c r="G251" s="50" t="inlineStr">
        <is>
          <t>7283. 06. REP-ERT. 5850 AMPL MOL PROJECT_CAPEXUS_OFFICES_CZ</t>
        </is>
      </c>
      <c r="H251" s="50" t="inlineStr">
        <is>
          <t>CAPEXUS</t>
        </is>
      </c>
      <c r="I251" s="50" t="inlineStr">
        <is>
          <t>Rafik</t>
        </is>
      </c>
      <c r="J251" s="50" t="inlineStr">
        <is>
          <t>Luis</t>
        </is>
      </c>
      <c r="K251" s="50" t="inlineStr">
        <is>
          <t>Error técnico</t>
        </is>
      </c>
      <c r="L251" s="50" t="e">
        <v>#REF!</v>
      </c>
      <c r="M251" s="54" t="inlineStr">
        <is>
          <t>Revisar detenidamente cada PO para que no haya problemas y preguntar dudas antes de hacer cualquier cosa.</t>
        </is>
      </c>
      <c r="N251" s="50" t="inlineStr">
        <is>
          <t>Enviar los 8 paneles</t>
        </is>
      </c>
      <c r="O251" s="47" t="inlineStr">
        <is>
          <t>No se fabricó una parte del pedido. No especificaban en otro punto de la PO y no lo vi a la hora de cotizar ni de hacer el archivo de corte</t>
        </is>
      </c>
      <c r="P251" s="98" t="n">
        <v>1548</v>
      </c>
      <c r="Q251" s="99" t="n"/>
      <c r="R251" s="99" t="n"/>
      <c r="S251" s="50" t="e">
        <v>#REF!</v>
      </c>
    </row>
    <row r="252" ht="30" customHeight="1">
      <c r="A252" s="55" t="inlineStr">
        <is>
          <t>CP254</t>
        </is>
      </c>
      <c r="B252" s="55" t="inlineStr">
        <is>
          <t>CERRADA</t>
        </is>
      </c>
      <c r="C252" s="56" t="n"/>
      <c r="E252" s="58" t="n">
        <v>45618</v>
      </c>
      <c r="F252" s="57" t="n">
        <v>6091</v>
      </c>
      <c r="G252" s="55" t="inlineStr">
        <is>
          <t>7340. 00. REP-IT 6091 ANTUNEZ BAR CINTRUENIGO NA</t>
        </is>
      </c>
      <c r="H252" s="55" t="inlineStr">
        <is>
          <t>JOAQUIN ANTUNEZ</t>
        </is>
      </c>
      <c r="I252" s="55" t="inlineStr">
        <is>
          <t>Jon Rioboo</t>
        </is>
      </c>
      <c r="J252" s="55" t="inlineStr">
        <is>
          <t>Rashli</t>
        </is>
      </c>
      <c r="K252" s="55" t="inlineStr">
        <is>
          <t>Transporte</t>
        </is>
      </c>
      <c r="L252" s="55" t="e">
        <v>#REF!</v>
      </c>
      <c r="M252" s="59" t="inlineStr">
        <is>
          <t>Reposicion al cliente</t>
        </is>
      </c>
      <c r="N252" s="55" t="inlineStr">
        <is>
          <t>Proteger aún más los paquetes</t>
        </is>
      </c>
      <c r="O252" s="46" t="inlineStr">
        <is>
          <t>El vliente comenta que el embalaje les llegó hundido por lo que habían 4 placas quedradas.</t>
        </is>
      </c>
      <c r="P252" s="101" t="n">
        <v>194.33</v>
      </c>
      <c r="Q252" s="102" t="n"/>
      <c r="R252" s="102" t="n"/>
      <c r="S252" s="55" t="e">
        <v>#REF!</v>
      </c>
    </row>
    <row r="253" ht="30" customHeight="1">
      <c r="A253" s="50" t="inlineStr">
        <is>
          <t>CP255</t>
        </is>
      </c>
      <c r="B253" s="50" t="inlineStr">
        <is>
          <t>CERRADA</t>
        </is>
      </c>
      <c r="C253" s="51" t="n"/>
      <c r="D253" s="52" t="n"/>
      <c r="E253" s="53" t="n">
        <v>45621</v>
      </c>
      <c r="F253" s="52" t="n">
        <v>6522</v>
      </c>
      <c r="G253" s="50" t="inlineStr">
        <is>
          <t>7364. 00. REP-ERF. 6522. ABSOTEC EC34 P.24.263 Y MS CYL</t>
        </is>
      </c>
      <c r="H253" s="50" t="inlineStr">
        <is>
          <t>ABSOTEC</t>
        </is>
      </c>
      <c r="I253" s="50" t="inlineStr">
        <is>
          <t>Roberto</t>
        </is>
      </c>
      <c r="J253" s="50" t="inlineStr">
        <is>
          <t>Roberto</t>
        </is>
      </c>
      <c r="K253" s="50" t="inlineStr">
        <is>
          <t>Fabricación</t>
        </is>
      </c>
      <c r="L253" s="50" t="e">
        <v>#REF!</v>
      </c>
      <c r="M253" s="54" t="inlineStr">
        <is>
          <t>Deben estar pendientes de cortar el dxf correcto</t>
        </is>
      </c>
      <c r="N253" s="50" t="inlineStr">
        <is>
          <t>Reponer 1 panel correctamente cortado</t>
        </is>
      </c>
      <c r="O253" s="47" t="inlineStr">
        <is>
          <t>Reponer 1 ECObasic +50ml corte. Pedido con varios paneles para muestras de distintos colores y diseño parecido y se corta el mismo dxf para todos los paneles de muestras.</t>
        </is>
      </c>
      <c r="P253" s="98" t="n">
        <v>100</v>
      </c>
      <c r="Q253" s="99" t="n"/>
      <c r="R253" s="99" t="n"/>
      <c r="S253" s="50" t="e">
        <v>#REF!</v>
      </c>
    </row>
    <row r="254" ht="30" customHeight="1">
      <c r="A254" s="55" t="inlineStr">
        <is>
          <t>CP256</t>
        </is>
      </c>
      <c r="B254" s="55" t="inlineStr">
        <is>
          <t>CERRADA</t>
        </is>
      </c>
      <c r="C254" s="56" t="n"/>
      <c r="E254" s="58" t="n">
        <v>45622</v>
      </c>
      <c r="F254" s="57" t="n">
        <v>7386</v>
      </c>
      <c r="G254" s="55" t="inlineStr">
        <is>
          <t>7386.00. REP-DC. 6372. 00. ESTEL FORBES HOUSE AMP QUAD MAD</t>
        </is>
      </c>
      <c r="H254" s="55" t="inlineStr">
        <is>
          <t xml:space="preserve">ESTEL </t>
        </is>
      </c>
      <c r="I254" s="55" t="inlineStr">
        <is>
          <t>Jorge ecocero</t>
        </is>
      </c>
      <c r="J254" s="55" t="inlineStr">
        <is>
          <t>Angela</t>
        </is>
      </c>
      <c r="K254" s="55" t="inlineStr">
        <is>
          <t>Defecto por cliente</t>
        </is>
      </c>
      <c r="L254" s="55" t="e">
        <v>#REF!</v>
      </c>
      <c r="M254" s="59" t="inlineStr">
        <is>
          <t>Ninguna</t>
        </is>
      </c>
      <c r="N254" s="55" t="inlineStr">
        <is>
          <t>El cliente ha perdido 2 UD de quadrilateral en una obra de bastante importe</t>
        </is>
      </c>
      <c r="O254" s="46" t="inlineStr">
        <is>
          <t>Reponer 2 ud quadrilateral. Opinión Angela: sin coste (acccion comercial)</t>
        </is>
      </c>
      <c r="P254" s="101" t="n">
        <v>50</v>
      </c>
      <c r="Q254" s="102" t="n"/>
      <c r="R254" s="102" t="n"/>
      <c r="S254" s="55" t="e">
        <v>#REF!</v>
      </c>
    </row>
    <row r="255" ht="30" customHeight="1">
      <c r="A255" s="50" t="inlineStr">
        <is>
          <t>CP257</t>
        </is>
      </c>
      <c r="B255" s="50" t="inlineStr">
        <is>
          <t>CERRADA</t>
        </is>
      </c>
      <c r="C255" s="51" t="n"/>
      <c r="D255" s="52" t="n"/>
      <c r="E255" s="53" t="n">
        <v>45624</v>
      </c>
      <c r="F255" s="52" t="n">
        <v>7496</v>
      </c>
      <c r="G255" s="50" t="inlineStr">
        <is>
          <t>7496. 00. REP-IT 6090. 01. MAURICIO BERNABEI REF-MELGAR FOAM</t>
        </is>
      </c>
      <c r="H255" s="50" t="inlineStr">
        <is>
          <t>MELGAR 1973 SL</t>
        </is>
      </c>
      <c r="I255" s="50" t="inlineStr">
        <is>
          <t>Juanjo</t>
        </is>
      </c>
      <c r="J255" s="50" t="inlineStr">
        <is>
          <t>Belén</t>
        </is>
      </c>
      <c r="K255" s="50" t="inlineStr">
        <is>
          <t>Transporte</t>
        </is>
      </c>
      <c r="L255" s="50" t="e">
        <v>#REF!</v>
      </c>
      <c r="M255" s="54" t="inlineStr">
        <is>
          <t>Protección adicional en FOAM</t>
        </is>
      </c>
      <c r="N255" s="50" t="inlineStr">
        <is>
          <t>Reposición 3 Unidades de FOAM rectangular Blanco Pintado</t>
        </is>
      </c>
      <c r="O255" s="47" t="inlineStr">
        <is>
          <t>El paquete llega con un golpe claro en el lateral de lo que parece ser una horquilla. Afectando a las unidades descritas</t>
        </is>
      </c>
      <c r="P255" s="98" t="n">
        <v>103.5</v>
      </c>
      <c r="Q255" s="99" t="n"/>
      <c r="R255" s="99" t="n"/>
      <c r="S255" s="50" t="e">
        <v>#REF!</v>
      </c>
    </row>
    <row r="256" ht="30" customHeight="1">
      <c r="A256" s="55" t="inlineStr">
        <is>
          <t>CP258</t>
        </is>
      </c>
      <c r="B256" s="55" t="inlineStr">
        <is>
          <t>CERRADA</t>
        </is>
      </c>
      <c r="C256" s="56" t="n"/>
      <c r="E256" s="58" t="n">
        <v>45628</v>
      </c>
      <c r="F256" s="57" t="n">
        <v>7560</v>
      </c>
      <c r="G256" s="55" t="inlineStr">
        <is>
          <t>7560. 00. REP-ERF 3914. 01. DINOF LOCAL DINOF SHOWROOM LR</t>
        </is>
      </c>
      <c r="H256" s="55" t="inlineStr">
        <is>
          <t>DINOF</t>
        </is>
      </c>
      <c r="I256" s="55" t="inlineStr">
        <is>
          <t>Jon Rioboo</t>
        </is>
      </c>
      <c r="J256" s="55" t="inlineStr">
        <is>
          <t>Mónica</t>
        </is>
      </c>
      <c r="K256" s="55" t="inlineStr">
        <is>
          <t>Fabricación</t>
        </is>
      </c>
      <c r="L256" s="55" t="e">
        <v>#REF!</v>
      </c>
      <c r="M256" s="59" t="inlineStr">
        <is>
          <t>Tener cuidado al eliminar elementos del DXF al momento de cortar</t>
        </is>
      </c>
      <c r="N256" s="55" t="inlineStr">
        <is>
          <t>Reponer 10 paneles cortados en baffles</t>
        </is>
      </c>
      <c r="O256" s="46" t="inlineStr">
        <is>
          <t>Al eliminar la numeración de las piezas en el DXF, se eliminaron las perforaciones para anclajes y costillas.</t>
        </is>
      </c>
      <c r="P256" s="101" t="inlineStr">
        <is>
          <t>4,302,76 €</t>
        </is>
      </c>
      <c r="Q256" s="102" t="n"/>
      <c r="R256" s="102" t="n"/>
      <c r="S256" s="55" t="e">
        <v>#REF!</v>
      </c>
    </row>
    <row r="257" ht="30" customHeight="1">
      <c r="A257" s="50" t="inlineStr">
        <is>
          <t>CP259</t>
        </is>
      </c>
      <c r="B257" s="50" t="inlineStr">
        <is>
          <t>CERRADA</t>
        </is>
      </c>
      <c r="C257" s="51" t="n"/>
      <c r="D257" s="52" t="n"/>
      <c r="E257" s="53" t="n">
        <v>45629</v>
      </c>
      <c r="F257" s="52" t="n">
        <v>1661</v>
      </c>
      <c r="G257" s="50" t="inlineStr">
        <is>
          <t>7614. 10. REP-FP. 1661. OFILLORCA ECOBAFFLE BAL</t>
        </is>
      </c>
      <c r="H257" s="50" t="inlineStr">
        <is>
          <t>OFILLORCA</t>
        </is>
      </c>
      <c r="I257" s="50" t="inlineStr">
        <is>
          <t>Jose Luis Chico</t>
        </is>
      </c>
      <c r="J257" s="50" t="inlineStr">
        <is>
          <t>Luis</t>
        </is>
      </c>
      <c r="K257" s="50" t="inlineStr">
        <is>
          <t>Falta Paneles</t>
        </is>
      </c>
      <c r="L257" s="50" t="e">
        <v>#REF!</v>
      </c>
      <c r="M257" s="54" t="inlineStr">
        <is>
          <t>revisar las piezas cortadas antes de enviar el pedido</t>
        </is>
      </c>
      <c r="N257" s="50" t="inlineStr">
        <is>
          <t>reponer un panel</t>
        </is>
      </c>
      <c r="O257" s="47" t="inlineStr">
        <is>
          <t>Nos ha faltado un panel por cortar, en el dxf ponía 2 uds y el cliente dice que le ha faltado las piezas de un panel</t>
        </is>
      </c>
      <c r="P257" s="98" t="n">
        <v>228</v>
      </c>
      <c r="Q257" s="99" t="n"/>
      <c r="R257" s="99" t="n"/>
      <c r="S257" s="50" t="e">
        <v>#REF!</v>
      </c>
    </row>
    <row r="258" ht="30" customHeight="1">
      <c r="A258" s="55" t="inlineStr">
        <is>
          <t>CP260</t>
        </is>
      </c>
      <c r="B258" s="55" t="inlineStr">
        <is>
          <t>CERRADA</t>
        </is>
      </c>
      <c r="C258" s="56" t="n"/>
      <c r="E258" s="58" t="n">
        <v>45629</v>
      </c>
      <c r="F258" s="57" t="n">
        <v>4521</v>
      </c>
      <c r="G258" s="55" t="inlineStr">
        <is>
          <t>7001. 00. REP-ERT 4521 BASEE POINT_ACTIBURO SCMB_RECTANGLE_F</t>
        </is>
      </c>
      <c r="H258" s="55" t="inlineStr">
        <is>
          <t>ACTIBURO</t>
        </is>
      </c>
      <c r="I258" s="55" t="inlineStr">
        <is>
          <t>Sylvain</t>
        </is>
      </c>
      <c r="J258" s="55" t="inlineStr">
        <is>
          <t>Rashli</t>
        </is>
      </c>
      <c r="K258" s="55" t="inlineStr">
        <is>
          <t>Error técnico</t>
        </is>
      </c>
      <c r="L258" s="55" t="e">
        <v>#REF!</v>
      </c>
      <c r="M258" s="59" t="inlineStr">
        <is>
          <t>Revisar los colores del DXF y del trello al pasarlos del presupuesto</t>
        </is>
      </c>
      <c r="N258" s="55" t="inlineStr">
        <is>
          <t>Reponer 54 rectangulos pintados + 20 colas foam</t>
        </is>
      </c>
      <c r="O258" s="46" t="inlineStr">
        <is>
          <t>Pedían ocho colores y al crear el dxf solo hemos puesto 4, ya que todos se parecían y no los revisamos uno a uno</t>
        </is>
      </c>
      <c r="P258" s="101" t="n">
        <v>2108.68</v>
      </c>
      <c r="Q258" s="102" t="n"/>
      <c r="R258" s="102" t="n"/>
      <c r="S258" s="55" t="e">
        <v>#REF!</v>
      </c>
    </row>
    <row r="259" ht="45" customHeight="1">
      <c r="A259" s="50" t="inlineStr">
        <is>
          <t>CP261</t>
        </is>
      </c>
      <c r="B259" s="50" t="inlineStr">
        <is>
          <t>CERRADA</t>
        </is>
      </c>
      <c r="C259" s="51" t="n"/>
      <c r="D259" s="52" t="n"/>
      <c r="E259" s="53" t="n">
        <v>45631</v>
      </c>
      <c r="F259" s="52" t="n">
        <v>7071</v>
      </c>
      <c r="G259" s="50" t="inlineStr">
        <is>
          <t>7684. 00. REP-ERT 7071. 01. VILU OFIS ECOWALL VCUT CV</t>
        </is>
      </c>
      <c r="H259" s="50" t="inlineStr">
        <is>
          <t>Vilu Ofis</t>
        </is>
      </c>
      <c r="I259" s="50" t="inlineStr">
        <is>
          <t>Marc</t>
        </is>
      </c>
      <c r="J259" s="50" t="inlineStr">
        <is>
          <t>Belén</t>
        </is>
      </c>
      <c r="K259" s="50" t="inlineStr">
        <is>
          <t>Error técnico</t>
        </is>
      </c>
      <c r="L259" s="50" t="e">
        <v>#REF!</v>
      </c>
      <c r="M259" s="54" t="inlineStr">
        <is>
          <t>Revisar el tipo de bisel que lleva un panel personalizado</t>
        </is>
      </c>
      <c r="N259" s="50" t="inlineStr">
        <is>
          <t>Reponer 2 paneles de 1160*2195*12mm y 880*2195*12mm + un panel liso de 970*2110*12mm dark camel</t>
        </is>
      </c>
      <c r="O259" s="47" t="inlineStr">
        <is>
          <t>Era un pedido que se repitó por que fue afectado por la dana y llevaban un bisel más profundo del estándar y no lo interpreté bien</t>
        </is>
      </c>
      <c r="P259" s="98" t="n">
        <v>609.84</v>
      </c>
      <c r="Q259" s="99" t="n"/>
      <c r="R259" s="99" t="n"/>
      <c r="S259" s="50" t="e">
        <v>#REF!</v>
      </c>
    </row>
    <row r="260" ht="30" customHeight="1">
      <c r="A260" s="55" t="inlineStr">
        <is>
          <t>CP262</t>
        </is>
      </c>
      <c r="B260" s="55" t="inlineStr">
        <is>
          <t>CERRADA</t>
        </is>
      </c>
      <c r="C260" s="56" t="n"/>
      <c r="E260" s="58" t="n">
        <v>45635</v>
      </c>
      <c r="F260" s="57" t="n">
        <v>4371</v>
      </c>
      <c r="G260" s="55" t="inlineStr">
        <is>
          <t>7735. 00. REP-IT 4371 FRCHLE07_KINNARPS_ECOBASIC_FR</t>
        </is>
      </c>
      <c r="H260" s="55" t="inlineStr">
        <is>
          <t>KINNARPS</t>
        </is>
      </c>
      <c r="I260" s="55" t="inlineStr">
        <is>
          <t>Alexander Bakri</t>
        </is>
      </c>
      <c r="J260" s="55" t="inlineStr">
        <is>
          <t>Rashli</t>
        </is>
      </c>
      <c r="K260" s="55" t="inlineStr">
        <is>
          <t>Transporte</t>
        </is>
      </c>
      <c r="L260" s="55" t="e">
        <v>#REF!</v>
      </c>
      <c r="M260" s="59" t="inlineStr">
        <is>
          <t>Reposicion al cliente</t>
        </is>
      </c>
      <c r="N260" s="55" t="inlineStr">
        <is>
          <t>Reponer un panel liso de 9 mm con agujeros para colgar</t>
        </is>
      </c>
      <c r="O260" s="46" t="inlineStr">
        <is>
          <t>Es la reposición de una reposición, al pñarecer un panel les llegó dañado por el transporte</t>
        </is>
      </c>
      <c r="P260" s="101" t="n">
        <v>321</v>
      </c>
      <c r="Q260" s="102" t="n"/>
      <c r="R260" s="102" t="n"/>
      <c r="S260" s="55" t="e">
        <v>#REF!</v>
      </c>
    </row>
    <row r="261" ht="30" customHeight="1">
      <c r="A261" s="50" t="inlineStr">
        <is>
          <t>CP263</t>
        </is>
      </c>
      <c r="B261" s="50" t="inlineStr">
        <is>
          <t>CERRADA</t>
        </is>
      </c>
      <c r="C261" s="51" t="n"/>
      <c r="D261" s="52" t="n"/>
      <c r="E261" s="53" t="n">
        <v>45637</v>
      </c>
      <c r="F261" s="52" t="n">
        <v>5237</v>
      </c>
      <c r="G261" s="50" t="inlineStr">
        <is>
          <t>7810. 00. REP-DC 5237. 05. UBICCA LLAOLLAO MAD</t>
        </is>
      </c>
      <c r="H261" s="50" t="inlineStr">
        <is>
          <t>UBICCA</t>
        </is>
      </c>
      <c r="I261" s="50" t="inlineStr">
        <is>
          <t>Jorge Rubio</t>
        </is>
      </c>
      <c r="J261" s="50" t="inlineStr">
        <is>
          <t>Roberto</t>
        </is>
      </c>
      <c r="K261" s="50" t="inlineStr">
        <is>
          <t>Defecto por cliente</t>
        </is>
      </c>
      <c r="L261" s="50" t="e">
        <v>#REF!</v>
      </c>
      <c r="M261" s="54" t="inlineStr">
        <is>
          <t>Preguntar que tipo de curva necesitan</t>
        </is>
      </c>
      <c r="N261" s="50" t="inlineStr">
        <is>
          <t>Hacer bisel trasero para curvar al maximo</t>
        </is>
      </c>
      <c r="O261" s="47" t="inlineStr">
        <is>
          <t>El cliente no dijo que era para instalar en un pilar circular de D800mm</t>
        </is>
      </c>
      <c r="P261" s="92" t="n">
        <v>484</v>
      </c>
      <c r="Q261" s="50" t="n"/>
      <c r="R261" s="50" t="n"/>
      <c r="S261" s="50" t="e">
        <v>#REF!</v>
      </c>
    </row>
    <row r="262" ht="30" customHeight="1">
      <c r="A262" s="55" t="inlineStr">
        <is>
          <t>CP264</t>
        </is>
      </c>
      <c r="B262" s="55" t="inlineStr">
        <is>
          <t>CERRADA</t>
        </is>
      </c>
      <c r="C262" s="56" t="n"/>
      <c r="E262" s="58" t="n">
        <v>45637</v>
      </c>
      <c r="F262" s="57" t="n">
        <v>7538</v>
      </c>
      <c r="G262" s="55" t="inlineStr">
        <is>
          <t>7815. 00. REP-ERF 7538 ABSOTEC EC37 P.24.249 MEDPAR BIS CYL</t>
        </is>
      </c>
      <c r="H262" s="55" t="inlineStr">
        <is>
          <t>ABSOTEC</t>
        </is>
      </c>
      <c r="I262" s="55" t="inlineStr">
        <is>
          <t>Roberto</t>
        </is>
      </c>
      <c r="J262" s="55" t="inlineStr">
        <is>
          <t>Roberto</t>
        </is>
      </c>
      <c r="K262" s="55" t="inlineStr">
        <is>
          <t>Fabricación</t>
        </is>
      </c>
      <c r="L262" s="55" t="e">
        <v>#REF!</v>
      </c>
      <c r="M262" s="59" t="inlineStr">
        <is>
          <t>No apretar tanto las bridas</t>
        </is>
      </c>
      <c r="N262" s="55" t="inlineStr">
        <is>
          <t>Reponer los 4 paneles dañados</t>
        </is>
      </c>
      <c r="O262" s="46" t="inlineStr">
        <is>
          <t>Las bridas estaban marcadas en el panel.</t>
        </is>
      </c>
      <c r="P262" s="101" t="n">
        <v>480</v>
      </c>
      <c r="Q262" s="102" t="n"/>
      <c r="R262" s="102" t="n"/>
      <c r="S262" s="55" t="e">
        <v>#REF!</v>
      </c>
    </row>
    <row r="263" ht="30" customHeight="1">
      <c r="A263" s="50" t="inlineStr">
        <is>
          <t>CP265</t>
        </is>
      </c>
      <c r="B263" s="50" t="inlineStr">
        <is>
          <t>CERRADA</t>
        </is>
      </c>
      <c r="C263" s="51" t="n"/>
      <c r="D263" s="52" t="n"/>
      <c r="E263" s="53" t="n">
        <v>45637</v>
      </c>
      <c r="F263" s="52" t="n">
        <v>6859</v>
      </c>
      <c r="G263" s="50" t="inlineStr">
        <is>
          <t>7823. 00. REP-IT 6859. 02. PMC GRUP SEPARADORES 24 MM CAT</t>
        </is>
      </c>
      <c r="H263" s="50" t="inlineStr">
        <is>
          <t>PMC GRUP</t>
        </is>
      </c>
      <c r="I263" s="50" t="inlineStr">
        <is>
          <t>Manel</t>
        </is>
      </c>
      <c r="J263" s="50" t="inlineStr">
        <is>
          <t>Mónica</t>
        </is>
      </c>
      <c r="K263" s="50" t="inlineStr">
        <is>
          <t>Transporte</t>
        </is>
      </c>
      <c r="L263" s="50" t="e">
        <v>#REF!</v>
      </c>
      <c r="M263" s="54" t="inlineStr">
        <is>
          <t>Reposición de 2/11 paneles al cliente</t>
        </is>
      </c>
      <c r="N263" s="50" t="inlineStr">
        <is>
          <t>Acordar con las agencias de transporte que no modifiquen el embalaje de los bultos.</t>
        </is>
      </c>
      <c r="O263" s="47" t="inlineStr">
        <is>
          <t>En el transporte, retiraron el palet y el cartón, dejando los paneles sin protección, resultando doblados y con astillas del palet.</t>
        </is>
      </c>
      <c r="P263" s="93" t="n">
        <v>239.58</v>
      </c>
      <c r="Q263" s="99" t="n"/>
      <c r="R263" s="99" t="n"/>
      <c r="S263" s="50" t="e">
        <v>#REF!</v>
      </c>
    </row>
    <row r="264" ht="45" customHeight="1">
      <c r="A264" s="55" t="inlineStr">
        <is>
          <t>CP266</t>
        </is>
      </c>
      <c r="B264" s="55" t="inlineStr">
        <is>
          <t>CERRADA</t>
        </is>
      </c>
      <c r="C264" s="56" t="n"/>
      <c r="E264" s="58" t="n">
        <v>45638</v>
      </c>
      <c r="F264" s="57" t="n">
        <v>3914</v>
      </c>
      <c r="G264" s="55" t="inlineStr">
        <is>
          <t>7842. 00. REP-DC 3914. 01. DINOF LOCAL DINOF SHOWROOM LR</t>
        </is>
      </c>
      <c r="H264" s="55" t="inlineStr">
        <is>
          <t>DINOF</t>
        </is>
      </c>
      <c r="I264" s="55" t="inlineStr">
        <is>
          <t>Jon Rioboo</t>
        </is>
      </c>
      <c r="J264" s="55" t="inlineStr">
        <is>
          <t>Mónica</t>
        </is>
      </c>
      <c r="K264" s="55" t="inlineStr">
        <is>
          <t>Defecto por cliente</t>
        </is>
      </c>
      <c r="L264" s="55" t="inlineStr">
        <is>
          <t>Cliente</t>
        </is>
      </c>
      <c r="M264" s="59" t="inlineStr">
        <is>
          <t>Reposición de dos piezas al cliente</t>
        </is>
      </c>
      <c r="N264" s="55" t="inlineStr">
        <is>
          <t>Confirmar con el cliente que las medidas son correctas y/o enviar material sobrante por si acaso.</t>
        </is>
      </c>
      <c r="O264" s="46" t="inlineStr">
        <is>
          <t>El cliente no midió correctamente la superficie y le faltó material</t>
        </is>
      </c>
      <c r="P264" s="101" t="n">
        <v>372.68</v>
      </c>
      <c r="Q264" s="102" t="n"/>
      <c r="R264" s="102" t="n"/>
      <c r="S264" s="55" t="e">
        <v>#REF!</v>
      </c>
    </row>
    <row r="265" ht="30" customHeight="1">
      <c r="A265" s="50" t="inlineStr">
        <is>
          <t>CP267</t>
        </is>
      </c>
      <c r="B265" s="50" t="inlineStr">
        <is>
          <t>CERRADA</t>
        </is>
      </c>
      <c r="C265" s="51" t="n"/>
      <c r="D265" s="52" t="n"/>
      <c r="E265" s="53" t="n">
        <v>45638</v>
      </c>
      <c r="F265" s="52" t="n">
        <v>6790</v>
      </c>
      <c r="G265" s="50" t="inlineStr">
        <is>
          <t>7847. 00. REP-ERT 6790. 02. GRUPO EFEBE WAMOS AIR MODULOS VC</t>
        </is>
      </c>
      <c r="H265" s="50" t="inlineStr">
        <is>
          <t>GRUP EFEBÉ</t>
        </is>
      </c>
      <c r="I265" s="50" t="inlineStr">
        <is>
          <t>Manel</t>
        </is>
      </c>
      <c r="J265" s="50" t="inlineStr">
        <is>
          <t>Mónica</t>
        </is>
      </c>
      <c r="K265" s="50" t="inlineStr">
        <is>
          <t>Error técnico</t>
        </is>
      </c>
      <c r="L265" s="50" t="e">
        <v>#REF!</v>
      </c>
      <c r="M265" s="54" t="inlineStr">
        <is>
          <t>Asesorar bien al cliente</t>
        </is>
      </c>
      <c r="N265" s="50" t="inlineStr">
        <is>
          <t>Reponer 3 paneles</t>
        </is>
      </c>
      <c r="O265" s="47" t="inlineStr">
        <is>
          <t>Se suministraron paneles de 1200 y 1170mm de ancho, no se ha avisado al cliente y los han instalado mezclados</t>
        </is>
      </c>
      <c r="P265" s="98">
        <f>3*380*0.6</f>
        <v/>
      </c>
      <c r="Q265" s="99" t="n"/>
      <c r="R265" s="99" t="n"/>
      <c r="S265" s="50" t="e">
        <v>#REF!</v>
      </c>
    </row>
    <row r="266" ht="30" customHeight="1">
      <c r="A266" s="55" t="inlineStr">
        <is>
          <t>CP268</t>
        </is>
      </c>
      <c r="B266" s="55" t="inlineStr">
        <is>
          <t>CERRADA</t>
        </is>
      </c>
      <c r="C266" s="56" t="n"/>
      <c r="E266" s="58" t="n">
        <v>45639</v>
      </c>
      <c r="F266" s="57" t="n">
        <v>7111</v>
      </c>
      <c r="G266" s="55" t="inlineStr">
        <is>
          <t>7885. 00. REP-IT 7111.00. TETRIS  TECHO AMADEUS PLANTA 11 MA</t>
        </is>
      </c>
      <c r="H266" s="55" t="inlineStr">
        <is>
          <t>TETRIS</t>
        </is>
      </c>
      <c r="I266" s="55" t="inlineStr">
        <is>
          <t>RICARDO</t>
        </is>
      </c>
      <c r="J266" s="55" t="inlineStr">
        <is>
          <t>Angela</t>
        </is>
      </c>
      <c r="K266" s="55" t="inlineStr">
        <is>
          <t>Transporte</t>
        </is>
      </c>
      <c r="L266" s="55" t="e">
        <v>#REF!</v>
      </c>
      <c r="M266" s="59" t="inlineStr">
        <is>
          <t>Reposicion al cliente</t>
        </is>
      </c>
      <c r="N266" s="55" t="inlineStr">
        <is>
          <t>Hablar con agencia transporte.</t>
        </is>
      </c>
      <c r="O266" s="46" t="inlineStr">
        <is>
          <t xml:space="preserve">El pedido llego con el embalaje muy dañado. </t>
        </is>
      </c>
      <c r="P266" s="101" t="n">
        <v>286</v>
      </c>
      <c r="Q266" s="102" t="n"/>
      <c r="R266" s="102" t="n"/>
      <c r="S266" s="55" t="e">
        <v>#REF!</v>
      </c>
    </row>
    <row r="267" ht="30" customHeight="1">
      <c r="A267" s="50" t="inlineStr">
        <is>
          <t>CP269</t>
        </is>
      </c>
      <c r="B267" s="50" t="inlineStr">
        <is>
          <t>CERRADA</t>
        </is>
      </c>
      <c r="C267" s="51" t="n"/>
      <c r="D267" s="52" t="n"/>
      <c r="E267" s="53" t="n">
        <v>45642</v>
      </c>
      <c r="F267" s="52" t="n">
        <v>3796</v>
      </c>
      <c r="G267" s="50" t="inlineStr">
        <is>
          <t>7917. 00. REP-ERT 3796. 00. ESTILO SALA DE REUNIONES FER LR</t>
        </is>
      </c>
      <c r="H267" s="50" t="inlineStr">
        <is>
          <t>ESTILO MOBILIARIO</t>
        </is>
      </c>
      <c r="I267" s="50" t="inlineStr">
        <is>
          <t>Jon Rioboo</t>
        </is>
      </c>
      <c r="J267" s="50" t="inlineStr">
        <is>
          <t>Mónica</t>
        </is>
      </c>
      <c r="K267" s="50" t="inlineStr">
        <is>
          <t>Error técnico</t>
        </is>
      </c>
      <c r="L267" s="50" t="e">
        <v>#REF!</v>
      </c>
      <c r="M267" s="54" t="inlineStr">
        <is>
          <t>Reposición al cliente</t>
        </is>
      </c>
      <c r="N267" s="50" t="inlineStr">
        <is>
          <t>Analizar con detenimiento la configuración en la que se instalará el FLAP</t>
        </is>
      </c>
      <c r="O267" s="47" t="inlineStr">
        <is>
          <t>Faltaron 6 perfiles de FLAP, porque se consideró que los módulos compartían perfil, pero finalmente iban separados</t>
        </is>
      </c>
      <c r="P267" s="98" t="n">
        <v>0</v>
      </c>
      <c r="Q267" s="99" t="n"/>
      <c r="R267" s="99" t="n"/>
      <c r="S267" s="50" t="e">
        <v>#REF!</v>
      </c>
    </row>
    <row r="268" ht="30" customHeight="1">
      <c r="A268" s="55" t="inlineStr">
        <is>
          <t>CP270</t>
        </is>
      </c>
      <c r="B268" s="55" t="inlineStr">
        <is>
          <t>CERRADA</t>
        </is>
      </c>
      <c r="C268" s="56" t="n"/>
      <c r="E268" s="58" t="n">
        <v>45642</v>
      </c>
      <c r="F268" s="57" t="n">
        <v>7247</v>
      </c>
      <c r="G268" s="55" t="inlineStr">
        <is>
          <t>7920. 00. REP-ERT 7247. 00. CADIRAFINA PEDIDO 202403-98 FOAM</t>
        </is>
      </c>
      <c r="H268" s="55" t="inlineStr">
        <is>
          <t>CADIRAFINA</t>
        </is>
      </c>
      <c r="I268" s="55" t="inlineStr">
        <is>
          <t>Manel</t>
        </is>
      </c>
      <c r="J268" s="55" t="inlineStr">
        <is>
          <t>Mónica</t>
        </is>
      </c>
      <c r="K268" s="55" t="inlineStr">
        <is>
          <t>Error técnico</t>
        </is>
      </c>
      <c r="L268" s="55" t="e">
        <v>#REF!</v>
      </c>
      <c r="M268" s="59" t="inlineStr">
        <is>
          <t>Reposición al cliente</t>
        </is>
      </c>
      <c r="N268" s="55" t="inlineStr">
        <is>
          <t>Revisar bien las unidades que indica el cliente</t>
        </is>
      </c>
      <c r="O268" s="46" t="inlineStr">
        <is>
          <t>Han faltado paneles, ya que se tuvo en cuenta el número de paneles del despiece, no el número de piezas</t>
        </is>
      </c>
      <c r="P268" s="101" t="n">
        <v>571.5700000000001</v>
      </c>
      <c r="Q268" s="102" t="n"/>
      <c r="R268" s="102" t="n"/>
      <c r="S268" s="55" t="e">
        <v>#REF!</v>
      </c>
    </row>
    <row r="269" ht="30" customHeight="1">
      <c r="A269" s="50" t="inlineStr">
        <is>
          <t>CP271</t>
        </is>
      </c>
      <c r="B269" s="50" t="inlineStr">
        <is>
          <t>CERRADA</t>
        </is>
      </c>
      <c r="C269" s="51" t="n"/>
      <c r="D269" s="52" t="n"/>
      <c r="E269" s="53" t="n">
        <v>45642</v>
      </c>
      <c r="F269" s="52" t="n">
        <v>4298</v>
      </c>
      <c r="G269" s="50" t="inlineStr">
        <is>
          <t>7921. 01. REP-ERT. 4298 AISLAMIENTOS TIMPLAC ECO PRINT AND</t>
        </is>
      </c>
      <c r="H269" s="50" t="inlineStr">
        <is>
          <t>TIMPLAC</t>
        </is>
      </c>
      <c r="I269" s="50" t="inlineStr">
        <is>
          <t>Jorge Blanco</t>
        </is>
      </c>
      <c r="J269" s="50" t="inlineStr">
        <is>
          <t>Luis</t>
        </is>
      </c>
      <c r="K269" s="50" t="inlineStr">
        <is>
          <t>Error impresión</t>
        </is>
      </c>
      <c r="L269" s="50" t="e">
        <v>#REF!</v>
      </c>
      <c r="M269" s="54" t="inlineStr">
        <is>
          <t>Reposicion al cliente</t>
        </is>
      </c>
      <c r="N269" s="50" t="inlineStr">
        <is>
          <t>Replantear los paneles en fabrica antes de volver a enviar. Se imprimieron dos tonos diferentes</t>
        </is>
      </c>
      <c r="O269" s="47" t="inlineStr">
        <is>
          <t>Ha habido un cambio de tono entre dos paneles impresos</t>
        </is>
      </c>
      <c r="P269" s="98" t="n">
        <v>871.2</v>
      </c>
      <c r="Q269" s="99" t="n"/>
      <c r="R269" s="99" t="n"/>
      <c r="S269" s="50" t="e">
        <v>#REF!</v>
      </c>
    </row>
    <row r="270" ht="30" customHeight="1">
      <c r="A270" s="55" t="inlineStr">
        <is>
          <t>CP272</t>
        </is>
      </c>
      <c r="B270" s="55" t="inlineStr">
        <is>
          <t>CERRADA</t>
        </is>
      </c>
      <c r="C270" s="56" t="n"/>
      <c r="E270" s="58" t="n">
        <v>45643</v>
      </c>
      <c r="F270" s="57" t="n">
        <v>5913</v>
      </c>
      <c r="G270" s="55" t="inlineStr">
        <is>
          <t>7955. 00. REP-ERT. 5913.00. ESTEL ECOISLA 3D PERSONALIZADA CAT</t>
        </is>
      </c>
      <c r="H270" s="55" t="inlineStr">
        <is>
          <t xml:space="preserve">ESTEL </t>
        </is>
      </c>
      <c r="I270" s="55" t="inlineStr">
        <is>
          <t>Manel</t>
        </is>
      </c>
      <c r="J270" s="55" t="inlineStr">
        <is>
          <t>Angela</t>
        </is>
      </c>
      <c r="K270" s="55" t="inlineStr">
        <is>
          <t>Error técnico</t>
        </is>
      </c>
      <c r="L270" s="55" t="e">
        <v>#REF!</v>
      </c>
      <c r="M270" s="59" t="inlineStr">
        <is>
          <t>Revisar despieces antes de cortar</t>
        </is>
      </c>
      <c r="N270" s="55" t="inlineStr">
        <is>
          <t>Enviar planos con más detalles al cliente.</t>
        </is>
      </c>
      <c r="O270" s="46" t="inlineStr">
        <is>
          <t>Al cliente no le gustó la forma de 6 baffles y los manipuló quedando peor.</t>
        </is>
      </c>
      <c r="P270" s="101" t="n">
        <v>352</v>
      </c>
      <c r="Q270" s="102" t="n"/>
      <c r="R270" s="102" t="n"/>
      <c r="S270" s="55" t="e">
        <v>#REF!</v>
      </c>
    </row>
    <row r="271" ht="45" customHeight="1">
      <c r="A271" s="94" t="inlineStr">
        <is>
          <t>CP273</t>
        </is>
      </c>
      <c r="B271" s="50" t="inlineStr">
        <is>
          <t>CERRADA</t>
        </is>
      </c>
      <c r="C271" s="53" t="n"/>
      <c r="D271" s="95" t="n"/>
      <c r="E271" s="53" t="n">
        <v>45643</v>
      </c>
      <c r="F271" s="95" t="n">
        <v>5011</v>
      </c>
      <c r="G271" s="94" t="inlineStr">
        <is>
          <t>7957. 00. REP-ERT 5011. 00. OBRES LLORET 300724 CAT</t>
        </is>
      </c>
      <c r="H271" s="94" t="inlineStr">
        <is>
          <t>OBRES TECNIQUES LLORET</t>
        </is>
      </c>
      <c r="I271" s="94" t="inlineStr">
        <is>
          <t>Manel</t>
        </is>
      </c>
      <c r="J271" s="94" t="inlineStr">
        <is>
          <t>Emilio</t>
        </is>
      </c>
      <c r="K271" s="94" t="inlineStr">
        <is>
          <t>Error técnico</t>
        </is>
      </c>
      <c r="L271" s="94" t="e">
        <v>#REF!</v>
      </c>
      <c r="M271" s="96" t="inlineStr">
        <is>
          <t>Reposición al cliente</t>
        </is>
      </c>
      <c r="N271" s="94" t="inlineStr">
        <is>
          <t>Revisión unión de biseles en corte</t>
        </is>
      </c>
      <c r="O271" s="48" t="inlineStr">
        <is>
          <t>Composicion de paneles biselados, al realizar un error en el archivo de corte los biseles no coinciden. Debido a este error los instaladores recortar nos paneles, quedando las juntas a distinta altura.</t>
        </is>
      </c>
      <c r="P271" s="98" t="n">
        <v>1649.47</v>
      </c>
      <c r="Q271" s="97" t="n"/>
      <c r="R271" s="97" t="n"/>
      <c r="S271" s="94" t="e">
        <v>#REF!</v>
      </c>
    </row>
    <row r="272" ht="30" customHeight="1">
      <c r="A272" s="55" t="inlineStr">
        <is>
          <t>CP274</t>
        </is>
      </c>
      <c r="B272" s="55" t="inlineStr">
        <is>
          <t>CERRADA</t>
        </is>
      </c>
      <c r="C272" s="56" t="n"/>
      <c r="E272" s="58" t="n">
        <v>45645</v>
      </c>
      <c r="F272" s="57" t="n">
        <v>6163</v>
      </c>
      <c r="G272" s="55" t="inlineStr">
        <is>
          <t>8058. 00. REP-PRO 6136 ILA-STIHL_ARREDOUFFICIO_ROMA_SWEETHOM</t>
        </is>
      </c>
      <c r="H272" s="55" t="inlineStr">
        <is>
          <t>ARREDOUFFICIO</t>
        </is>
      </c>
      <c r="I272" s="55" t="inlineStr">
        <is>
          <t>Rafik</t>
        </is>
      </c>
      <c r="J272" s="55" t="inlineStr">
        <is>
          <t>Luis</t>
        </is>
      </c>
      <c r="K272" s="55" t="inlineStr">
        <is>
          <t>Proveedor</t>
        </is>
      </c>
      <c r="L272" s="55" t="e">
        <v>#REF!</v>
      </c>
      <c r="M272" s="59" t="inlineStr">
        <is>
          <t>Reposicion al cliente</t>
        </is>
      </c>
      <c r="N272" s="55" t="inlineStr">
        <is>
          <t>revisar los componentes antes de enviar</t>
        </is>
      </c>
      <c r="O272" s="46" t="inlineStr">
        <is>
          <t>le ha llegado al cliente una mesa defectuosa</t>
        </is>
      </c>
      <c r="P272" s="101" t="n">
        <v>100</v>
      </c>
      <c r="Q272" s="102" t="n"/>
      <c r="R272" s="102" t="n"/>
      <c r="S272" s="55" t="e">
        <v>#REF!</v>
      </c>
    </row>
    <row r="273" ht="30" customHeight="1">
      <c r="A273" s="50" t="inlineStr">
        <is>
          <t>CP275</t>
        </is>
      </c>
      <c r="B273" s="50" t="inlineStr">
        <is>
          <t>CERRADA</t>
        </is>
      </c>
      <c r="C273" s="51" t="n"/>
      <c r="D273" s="52" t="n"/>
      <c r="E273" s="53" t="n">
        <v>45649</v>
      </c>
      <c r="F273" s="52" t="n">
        <v>6841</v>
      </c>
      <c r="G273" s="50" t="inlineStr">
        <is>
          <t>8100. 00. REP-ERT 6841. 00. AA COL. DESARROLLO PP1 TRANS. DIGITAL</t>
        </is>
      </c>
      <c r="H273" s="50" t="inlineStr">
        <is>
          <t>IES COTES BAIXES</t>
        </is>
      </c>
      <c r="I273" s="50" t="inlineStr">
        <is>
          <t>-</t>
        </is>
      </c>
      <c r="J273" s="50" t="inlineStr">
        <is>
          <t>Javi López</t>
        </is>
      </c>
      <c r="K273" s="50" t="inlineStr">
        <is>
          <t>Error técnico</t>
        </is>
      </c>
      <c r="L273" s="50" t="inlineStr">
        <is>
          <t>Dpto. Técnico</t>
        </is>
      </c>
      <c r="M273" s="54" t="inlineStr">
        <is>
          <t xml:space="preserve">Revisión de los colores solicitados por cliente </t>
        </is>
      </c>
      <c r="N273" s="50" t="inlineStr">
        <is>
          <t>Revisar bien los colores antes de poner pedido en marcha</t>
        </is>
      </c>
      <c r="O273" s="47" t="inlineStr">
        <is>
          <t>El cliente solicitó el color antracita pero se manda a fabricar en Camel por error.</t>
        </is>
      </c>
      <c r="P273" s="98" t="n">
        <v>12907.55</v>
      </c>
      <c r="Q273" s="99" t="n"/>
      <c r="R273" s="99" t="n"/>
      <c r="S273" s="50" t="e">
        <v>#REF!</v>
      </c>
    </row>
    <row r="274" ht="30" customHeight="1">
      <c r="A274" s="55" t="inlineStr">
        <is>
          <t>CP276</t>
        </is>
      </c>
      <c r="B274" s="55" t="inlineStr">
        <is>
          <t>CERRADA</t>
        </is>
      </c>
      <c r="C274" s="56" t="n"/>
      <c r="E274" s="58" t="n">
        <v>45649</v>
      </c>
      <c r="F274" s="57" t="n">
        <v>2247</v>
      </c>
      <c r="G274" s="55" t="inlineStr">
        <is>
          <t>8121. 00. REP-ERF 2247 ROVEL ISLAS FOAM+ECONORDIK PGC</t>
        </is>
      </c>
      <c r="H274" s="55" t="inlineStr">
        <is>
          <t>TEQUIPA</t>
        </is>
      </c>
      <c r="I274" s="55" t="inlineStr">
        <is>
          <t>Iker</t>
        </is>
      </c>
      <c r="J274" s="55" t="inlineStr">
        <is>
          <t>Rashli</t>
        </is>
      </c>
      <c r="K274" s="55" t="inlineStr">
        <is>
          <t>Fabricación</t>
        </is>
      </c>
      <c r="L274" s="55" t="e">
        <v>#REF!</v>
      </c>
      <c r="M274" s="59" t="inlineStr">
        <is>
          <t>Revisar la forma de proteger los paneles</t>
        </is>
      </c>
      <c r="N274" s="55" t="inlineStr">
        <is>
          <t xml:space="preserve">Enviar los 81 paneles otra vez con protección especial en las esquinas con cuidado </t>
        </is>
      </c>
      <c r="O274" s="46" t="inlineStr">
        <is>
          <t>error EMBALAJE. Al cliente le llegaron todos los palets con uan esquina pellizcada ya que el carton no llegaba a cubrir toda la esquina del panel.</t>
        </is>
      </c>
      <c r="P274" s="101" t="n">
        <v>4908.6</v>
      </c>
      <c r="Q274" s="102" t="n"/>
      <c r="R274" s="102" t="n"/>
      <c r="S274" s="55" t="e">
        <v>#REF!</v>
      </c>
    </row>
    <row r="275" ht="30" customHeight="1">
      <c r="A275" s="50" t="inlineStr">
        <is>
          <t>CP277</t>
        </is>
      </c>
      <c r="B275" s="50" t="inlineStr">
        <is>
          <t>CERRADA</t>
        </is>
      </c>
      <c r="C275" s="51" t="n"/>
      <c r="D275" s="52" t="n"/>
      <c r="E275" s="53" t="n">
        <v>45649</v>
      </c>
      <c r="F275" s="52" t="n">
        <v>132</v>
      </c>
      <c r="G275" s="50" t="inlineStr">
        <is>
          <t>132. 00. REP-CLI 7300. 00. CADIRAFINA AMPL CAN ILLA CAT</t>
        </is>
      </c>
      <c r="H275" s="50" t="inlineStr">
        <is>
          <t>CADIRAFINA</t>
        </is>
      </c>
      <c r="I275" s="50" t="inlineStr">
        <is>
          <t>Manel</t>
        </is>
      </c>
      <c r="J275" s="50" t="inlineStr">
        <is>
          <t>Mónica</t>
        </is>
      </c>
      <c r="K275" s="50" t="inlineStr">
        <is>
          <t>Defecto por cliente</t>
        </is>
      </c>
      <c r="L275" s="50" t="e">
        <v>#REF!</v>
      </c>
      <c r="M275" s="54" t="inlineStr">
        <is>
          <t>Reposición al cliente</t>
        </is>
      </c>
      <c r="N275" s="50" t="inlineStr">
        <is>
          <t>Revisar y confirmar que el color que pide el cliente es el que quiere</t>
        </is>
      </c>
      <c r="O275" s="47" t="inlineStr">
        <is>
          <t>El cliente pidió los paneles en ECO-107, pero los quería en ECO-101, ya que era una ampliación de otro pedido</t>
        </is>
      </c>
      <c r="P275" s="98">
        <f>1011.566-551.76</f>
        <v/>
      </c>
      <c r="Q275" s="99" t="n"/>
      <c r="R275" s="99" t="n"/>
      <c r="S275" s="50" t="e">
        <v>#REF!</v>
      </c>
    </row>
    <row r="276" ht="30" customHeight="1">
      <c r="A276" s="55" t="inlineStr">
        <is>
          <t>CP278</t>
        </is>
      </c>
      <c r="B276" s="55" t="inlineStr">
        <is>
          <t>CERRADA</t>
        </is>
      </c>
      <c r="C276" s="56" t="n"/>
      <c r="E276" s="58" t="n">
        <v>45649</v>
      </c>
      <c r="F276" s="57" t="n">
        <v>7390</v>
      </c>
      <c r="G276" s="55" t="inlineStr">
        <is>
          <t>8126. 00. REP-IT 7390. 00. AUDIO FB FEEDBACK SQUARE ISLAND C</t>
        </is>
      </c>
      <c r="H276" s="55" t="inlineStr">
        <is>
          <t>AUDIO FB</t>
        </is>
      </c>
      <c r="I276" s="55" t="inlineStr">
        <is>
          <t>Manel</t>
        </is>
      </c>
      <c r="J276" s="55" t="inlineStr">
        <is>
          <t>Mónica</t>
        </is>
      </c>
      <c r="K276" s="55" t="inlineStr">
        <is>
          <t>Transporte</t>
        </is>
      </c>
      <c r="L276" s="55" t="e">
        <v>#REF!</v>
      </c>
      <c r="M276" s="59" t="inlineStr">
        <is>
          <t>Reposición al cliente</t>
        </is>
      </c>
      <c r="N276" s="55" t="inlineStr">
        <is>
          <t>Hablar con agencia transporte.</t>
        </is>
      </c>
      <c r="O276" s="46" t="inlineStr">
        <is>
          <t>Los paneles le han llegado destrozados al cliente</t>
        </is>
      </c>
      <c r="P276" s="101" t="inlineStr">
        <is>
          <t>1,574,82</t>
        </is>
      </c>
      <c r="Q276" s="102" t="n"/>
      <c r="R276" s="102" t="n"/>
      <c r="S276" s="55" t="e">
        <v>#REF!</v>
      </c>
    </row>
    <row r="277" ht="30" customHeight="1">
      <c r="A277" s="50" t="inlineStr">
        <is>
          <t>CP279</t>
        </is>
      </c>
      <c r="B277" s="50" t="inlineStr">
        <is>
          <t>CERRADA</t>
        </is>
      </c>
      <c r="C277" s="51" t="n"/>
      <c r="D277" s="52" t="n"/>
      <c r="E277" s="53" t="n">
        <v>45650</v>
      </c>
      <c r="F277" s="52" t="n">
        <v>7233</v>
      </c>
      <c r="G277" s="50" t="inlineStr">
        <is>
          <t>8129. 02. REP-ERF. 7233 ALEHOP FASE 2 OFICINAS OLIVA V2 CV</t>
        </is>
      </c>
      <c r="H277" s="50" t="inlineStr">
        <is>
          <t>CLAVE DENIA</t>
        </is>
      </c>
      <c r="I277" s="50" t="inlineStr">
        <is>
          <t>Jorge Fernandez</t>
        </is>
      </c>
      <c r="J277" s="50" t="inlineStr">
        <is>
          <t>Roberto</t>
        </is>
      </c>
      <c r="K277" s="50" t="inlineStr">
        <is>
          <t>Fabricación</t>
        </is>
      </c>
      <c r="L277" s="50" t="e">
        <v>#REF!</v>
      </c>
      <c r="M277" s="54" t="inlineStr">
        <is>
          <t>Reposición al cliente</t>
        </is>
      </c>
      <c r="N277" s="50" t="inlineStr">
        <is>
          <t>Revisar bien los paneles al ser cortados</t>
        </is>
      </c>
      <c r="O277" s="47" t="inlineStr">
        <is>
          <t>El cliente dice que hay 16 piezas de Aline mal cortadas porque hace fuerza el bisel</t>
        </is>
      </c>
      <c r="P277" s="98" t="n">
        <v>288</v>
      </c>
      <c r="Q277" s="99" t="n"/>
      <c r="R277" s="99" t="n"/>
      <c r="S277" s="50" t="e">
        <v>#REF!</v>
      </c>
    </row>
    <row r="278" ht="30" customHeight="1">
      <c r="A278" s="55" t="inlineStr">
        <is>
          <t>CP280</t>
        </is>
      </c>
      <c r="B278" s="55" t="inlineStr">
        <is>
          <t>CERRADA</t>
        </is>
      </c>
      <c r="C278" s="56" t="n"/>
      <c r="E278" s="58" t="n">
        <v>45652</v>
      </c>
      <c r="F278" s="57" t="n">
        <v>7841</v>
      </c>
      <c r="G278" s="55" t="inlineStr">
        <is>
          <t>276. 00. GREENAREA REP TABLEROS GAMA ECO CV</t>
        </is>
      </c>
      <c r="H278" s="55" t="inlineStr">
        <is>
          <t>GREENAREA</t>
        </is>
      </c>
      <c r="I278" s="55" t="inlineStr">
        <is>
          <t>-</t>
        </is>
      </c>
      <c r="J278" s="55" t="inlineStr">
        <is>
          <t>Luis</t>
        </is>
      </c>
      <c r="K278" s="55" t="inlineStr">
        <is>
          <t>Transporte</t>
        </is>
      </c>
      <c r="L278" s="55" t="e">
        <v>#REF!</v>
      </c>
      <c r="M278" s="59" t="inlineStr">
        <is>
          <t>Reposición al cliente</t>
        </is>
      </c>
      <c r="N278" s="55" t="inlineStr">
        <is>
          <t>Hablar con agencia transporte.</t>
        </is>
      </c>
      <c r="O278" s="46" t="inlineStr">
        <is>
          <t>El transporte ha perdido el palet</t>
        </is>
      </c>
      <c r="P278" s="101" t="n">
        <v>4770</v>
      </c>
      <c r="Q278" s="102" t="n"/>
      <c r="R278" s="102" t="n"/>
      <c r="S278" s="55" t="e">
        <v>#REF!</v>
      </c>
    </row>
    <row r="279" ht="30" customHeight="1">
      <c r="A279" s="50" t="inlineStr">
        <is>
          <t>CP281</t>
        </is>
      </c>
      <c r="B279" s="50" t="inlineStr">
        <is>
          <t>CERRADA</t>
        </is>
      </c>
      <c r="C279" s="51" t="n"/>
      <c r="D279" s="52" t="n"/>
      <c r="E279" s="53" t="n">
        <v>45652</v>
      </c>
      <c r="F279" s="52" t="n">
        <v>16</v>
      </c>
      <c r="G279" s="50" t="inlineStr">
        <is>
          <t>16. 00. REP-ERT 3843. 1. INADHOC FOAM GRIS ANTRACITA CAT</t>
        </is>
      </c>
      <c r="H279" s="50" t="inlineStr">
        <is>
          <t>INAD-HOC</t>
        </is>
      </c>
      <c r="I279" s="50" t="inlineStr">
        <is>
          <t>Manel</t>
        </is>
      </c>
      <c r="J279" s="50" t="inlineStr">
        <is>
          <t>Angela</t>
        </is>
      </c>
      <c r="K279" s="50" t="inlineStr">
        <is>
          <t>Error técnico</t>
        </is>
      </c>
      <c r="L279" s="50" t="e">
        <v>#REF!</v>
      </c>
      <c r="M279" s="54" t="inlineStr">
        <is>
          <t>Se les reponen los paneles en PET 12mm en lugar de Foam</t>
        </is>
      </c>
      <c r="N279" s="50" t="inlineStr">
        <is>
          <t>Concretar con el cliente de qué forma van a instalar los paneles y confirmar las medidas</t>
        </is>
      </c>
      <c r="O279" s="47" t="inlineStr">
        <is>
          <t>El cliente pidió foam para suspender del perfil a medidas 595x595 y se suministró en dimensiones 580x580</t>
        </is>
      </c>
      <c r="P279" s="98" t="n">
        <v>2205.71</v>
      </c>
      <c r="Q279" s="99" t="n"/>
      <c r="R279" s="99" t="n"/>
      <c r="S279" s="50" t="e">
        <v>#REF!</v>
      </c>
    </row>
    <row r="280" ht="30" customHeight="1">
      <c r="A280" s="55" t="inlineStr">
        <is>
          <t>CP282</t>
        </is>
      </c>
      <c r="B280" s="55" t="inlineStr">
        <is>
          <t>CERRADA</t>
        </is>
      </c>
      <c r="C280" s="56" t="n"/>
      <c r="E280" s="58" t="n">
        <v>45657</v>
      </c>
      <c r="F280" s="57" t="n">
        <v>6316</v>
      </c>
      <c r="G280" s="55" t="inlineStr">
        <is>
          <t>19. 00. REP-PRO 6316 CF0117230-0080397_PBA_SWEETHOME_INT_FR</t>
        </is>
      </c>
      <c r="H280" s="55" t="inlineStr">
        <is>
          <t>PBA</t>
        </is>
      </c>
      <c r="I280" s="55" t="inlineStr">
        <is>
          <t>Sylvain</t>
        </is>
      </c>
      <c r="J280" s="55" t="inlineStr">
        <is>
          <t>Rashli</t>
        </is>
      </c>
      <c r="K280" s="55" t="inlineStr">
        <is>
          <t>Proveedor</t>
        </is>
      </c>
      <c r="L280" s="55" t="e">
        <v>#REF!</v>
      </c>
      <c r="M280" s="100" t="inlineStr">
        <is>
          <t>Revisar las cabinas antes de empaquetarlas</t>
        </is>
      </c>
      <c r="N280" s="55" t="inlineStr">
        <is>
          <t>Desmontar una cabina y mandar las partes que están mal</t>
        </is>
      </c>
      <c r="O280" s="46" t="inlineStr">
        <is>
          <t>El cliente reclama que el cristal dentro de la puerta esta sostenido por una lamina de madera que esta rota verticalmente</t>
        </is>
      </c>
      <c r="P280" s="101" t="n">
        <v>8160</v>
      </c>
      <c r="Q280" s="102" t="n"/>
      <c r="R280" s="102" t="n"/>
      <c r="S280" s="55" t="e">
        <v>#REF!</v>
      </c>
    </row>
    <row r="281" ht="45" customHeight="1">
      <c r="A281" s="50" t="inlineStr">
        <is>
          <t>CP283</t>
        </is>
      </c>
      <c r="B281" s="50" t="inlineStr">
        <is>
          <t>CERRADA</t>
        </is>
      </c>
      <c r="C281" s="51" t="n"/>
      <c r="D281" s="52" t="n"/>
      <c r="E281" s="53" t="n">
        <v>45657</v>
      </c>
      <c r="F281" s="52" t="n">
        <v>7258</v>
      </c>
      <c r="G281" s="50" t="inlineStr">
        <is>
          <t>24. 00. REP-ERF 7258. 01. PEDREGOSA SEPARADORES AND</t>
        </is>
      </c>
      <c r="H281" s="50" t="inlineStr">
        <is>
          <t>Pedregosa</t>
        </is>
      </c>
      <c r="I281" s="50" t="inlineStr">
        <is>
          <t>Jorge Blanco</t>
        </is>
      </c>
      <c r="J281" s="50" t="inlineStr">
        <is>
          <t>Belén</t>
        </is>
      </c>
      <c r="K281" s="50" t="inlineStr">
        <is>
          <t>Fabricación</t>
        </is>
      </c>
      <c r="L281" s="50" t="e">
        <v>#REF!</v>
      </c>
      <c r="M281" s="54" t="inlineStr">
        <is>
          <t>Revisar y confirmar que si en trello pone que los paneles salgan pegados se peguen</t>
        </is>
      </c>
      <c r="N281" s="50" t="inlineStr">
        <is>
          <t>Leer bien hoja de produccion</t>
        </is>
      </c>
      <c r="O281" s="47" t="inlineStr">
        <is>
          <t>Eran unos separadores de mesa que tenían que haber salido de fábrica pegados 12+12mm y han salido sin pegar. Se envían 8ud de adhesivo sin coste. En trello estaba indicado que debían ir pegados</t>
        </is>
      </c>
      <c r="P281" s="98" t="n">
        <v>190.7</v>
      </c>
      <c r="Q281" s="99" t="n"/>
      <c r="R281" s="99" t="n"/>
      <c r="S281" s="50" t="e">
        <v>#REF!</v>
      </c>
    </row>
    <row r="282" ht="45" customHeight="1">
      <c r="A282" s="55" t="inlineStr">
        <is>
          <t>CP284</t>
        </is>
      </c>
      <c r="B282" s="55" t="inlineStr">
        <is>
          <t>CERRADA</t>
        </is>
      </c>
      <c r="C282" s="56" t="n"/>
      <c r="E282" s="58" t="n">
        <v>45657</v>
      </c>
      <c r="F282" s="57" t="n">
        <v>6120</v>
      </c>
      <c r="G282" s="55" t="inlineStr">
        <is>
          <t>48. 00. REP-ERT 6120 TOUR AURORE_LA DEFENSE_TETRIS_INT_FR</t>
        </is>
      </c>
      <c r="H282" s="55" t="inlineStr">
        <is>
          <t>TETRIS FR</t>
        </is>
      </c>
      <c r="I282" s="55" t="inlineStr">
        <is>
          <t>Sylvain</t>
        </is>
      </c>
      <c r="J282" s="55" t="inlineStr">
        <is>
          <t>Rashli</t>
        </is>
      </c>
      <c r="K282" s="55" t="inlineStr">
        <is>
          <t>Error técnico</t>
        </is>
      </c>
      <c r="L282" s="103" t="e">
        <v>#REF!</v>
      </c>
      <c r="M282" s="59" t="inlineStr">
        <is>
          <t>Revisar correctamente las unidades a fabricar cuando pasemos de m2 a ud</t>
        </is>
      </c>
      <c r="N282" s="55" t="inlineStr">
        <is>
          <t>Revisar bien el pedido del cliente, proteger mejor el palet en las esquinas</t>
        </is>
      </c>
      <c r="O282" s="46" t="inlineStr">
        <is>
          <t>Marchamos el pedido con solo 2 stratas y eran 4. Los paneles VOLUME se dañaron por el transporte, tiene las esquinas dobladas y golpeadas. Como paso un mes de esta entraga no se pudo reclamar al transportista</t>
        </is>
      </c>
      <c r="P282" s="101" t="n">
        <v>1915.5</v>
      </c>
      <c r="Q282" s="102" t="n"/>
      <c r="R282" s="102" t="n"/>
      <c r="S282" s="55" t="e">
        <v>#REF!</v>
      </c>
    </row>
    <row r="283" ht="60" customHeight="1">
      <c r="A283" s="50" t="inlineStr">
        <is>
          <t>CP285</t>
        </is>
      </c>
      <c r="B283" s="50" t="inlineStr">
        <is>
          <t>CERRADA</t>
        </is>
      </c>
      <c r="C283" s="51" t="n"/>
      <c r="D283" s="52" t="n"/>
      <c r="E283" s="53" t="n">
        <v>45657</v>
      </c>
      <c r="F283" s="52" t="n">
        <v>4898</v>
      </c>
      <c r="G283" s="50" t="inlineStr">
        <is>
          <t>49. 00. REP-RECLI. 4898. 02. ANSE AMPLIACIÓN NETWORKIA CAT</t>
        </is>
      </c>
      <c r="H283" s="50" t="inlineStr">
        <is>
          <t>ANSE</t>
        </is>
      </c>
      <c r="I283" s="50" t="inlineStr">
        <is>
          <t xml:space="preserve">Manel </t>
        </is>
      </c>
      <c r="J283" s="50" t="inlineStr">
        <is>
          <t>Angela</t>
        </is>
      </c>
      <c r="K283" s="50" t="inlineStr">
        <is>
          <t>Error estandarización</t>
        </is>
      </c>
      <c r="L283" s="103" t="e">
        <v>#REF!</v>
      </c>
      <c r="M283" s="54" t="inlineStr">
        <is>
          <t>En modelos NUEVOS, hacer prueba previa antes de cortar todo.</t>
        </is>
      </c>
      <c r="N283" s="104" t="inlineStr">
        <is>
          <t>Revisar el despiece de este modelo. Fábrica comprobar biseles y encajes antes de enviar. Enviar a manel 2 costillas y si el cliente lo valida enviar el resto de paneles.</t>
        </is>
      </c>
      <c r="O283" s="47" t="inlineStr">
        <is>
          <t>Error prototipo. NO SE ACLARÓ BISEL, en ese momento no se ponian grados. DEBÍA HACERSE EL DE 60º que era lo que se vió, pero NO SE PUSO EN DXF y lo dí por hecho y no se trasladó a fábrica.</t>
        </is>
      </c>
      <c r="P283" s="98" t="n">
        <v>900</v>
      </c>
      <c r="Q283" s="99" t="n"/>
      <c r="R283" s="99" t="n"/>
      <c r="S283" s="50" t="e">
        <v>#REF!</v>
      </c>
    </row>
    <row r="284" ht="30" customHeight="1">
      <c r="A284" s="55" t="inlineStr">
        <is>
          <t>CP286</t>
        </is>
      </c>
      <c r="B284" s="55" t="inlineStr">
        <is>
          <t>CERRADA</t>
        </is>
      </c>
      <c r="C284" s="56" t="n"/>
      <c r="E284" s="58" t="n">
        <v>45657</v>
      </c>
      <c r="F284" s="57" t="n">
        <v>7181</v>
      </c>
      <c r="G284" s="55" t="inlineStr">
        <is>
          <t>51. 00. REP-IT 7181. 00. VALLE ARDALES REF-CALLE MARGARITA</t>
        </is>
      </c>
      <c r="H284" s="55" t="inlineStr">
        <is>
          <t>Valle ardales</t>
        </is>
      </c>
      <c r="I284" s="55" t="inlineStr">
        <is>
          <t>Jorge Blanco</t>
        </is>
      </c>
      <c r="J284" s="55" t="inlineStr">
        <is>
          <t>Belén</t>
        </is>
      </c>
      <c r="K284" s="55" t="inlineStr">
        <is>
          <t>Transporte</t>
        </is>
      </c>
      <c r="L284" s="55" t="e">
        <v>#REF!</v>
      </c>
      <c r="M284" s="59" t="inlineStr">
        <is>
          <t>Reposición al cliente</t>
        </is>
      </c>
      <c r="N284" s="104" t="inlineStr">
        <is>
          <t>Hablar con la agencia de transporte, hay reclamacion? Albaran?</t>
        </is>
      </c>
      <c r="O284" s="46" t="inlineStr">
        <is>
          <t>Enviar 1 econordik y la caja de adhesivo que se perdió. El transporte le dio un golpe y lo destrozó</t>
        </is>
      </c>
      <c r="P284" s="101" t="n">
        <v>764.72</v>
      </c>
      <c r="Q284" s="102" t="n"/>
      <c r="R284" s="102" t="n"/>
      <c r="S284" s="55" t="e">
        <v>#REF!</v>
      </c>
    </row>
    <row r="285" ht="30" customHeight="1">
      <c r="A285" s="50" t="inlineStr">
        <is>
          <t>CP287</t>
        </is>
      </c>
      <c r="B285" s="50" t="inlineStr">
        <is>
          <t>CERRADA</t>
        </is>
      </c>
      <c r="C285" s="51" t="n"/>
      <c r="D285" s="52" t="n"/>
      <c r="E285" s="53" t="n">
        <v>45657</v>
      </c>
      <c r="F285" s="52" t="n">
        <v>7474</v>
      </c>
      <c r="G285" s="50" t="inlineStr">
        <is>
          <t>67. 00. REP-CO 7474. 00. ANSE NETWORKIA BIOMARIN MORALEJA</t>
        </is>
      </c>
      <c r="H285" s="50" t="inlineStr">
        <is>
          <t>ANSE</t>
        </is>
      </c>
      <c r="I285" s="50" t="inlineStr">
        <is>
          <t>Manel</t>
        </is>
      </c>
      <c r="J285" s="50" t="inlineStr">
        <is>
          <t>Mónica</t>
        </is>
      </c>
      <c r="K285" s="50" t="inlineStr">
        <is>
          <t>Color - Lote - Diferencia</t>
        </is>
      </c>
      <c r="L285" s="50" t="e">
        <v>#REF!</v>
      </c>
      <c r="M285" s="54" t="inlineStr">
        <is>
          <t>Reposición al cliente</t>
        </is>
      </c>
      <c r="N285" s="50" t="inlineStr">
        <is>
          <t>No mezclar lotes.</t>
        </is>
      </c>
      <c r="O285" s="47" t="inlineStr">
        <is>
          <t>Diferencia de tono entre paneles de una misma pared.</t>
        </is>
      </c>
      <c r="P285" s="98" t="n">
        <v>239.58</v>
      </c>
      <c r="Q285" s="99" t="n"/>
      <c r="R285" s="99" t="n"/>
      <c r="S285" s="50" t="e">
        <v>#REF!</v>
      </c>
    </row>
    <row r="286" ht="45" customHeight="1">
      <c r="A286" s="55" t="inlineStr">
        <is>
          <t>CP288</t>
        </is>
      </c>
      <c r="B286" s="55" t="inlineStr">
        <is>
          <t>CERRADA</t>
        </is>
      </c>
      <c r="C286" s="56" t="n"/>
      <c r="E286" s="58" t="n">
        <v>45657</v>
      </c>
      <c r="F286" s="57" t="n">
        <v>2797</v>
      </c>
      <c r="G286" s="55" t="inlineStr">
        <is>
          <t>79. 03. REP-FPF. 2797 OFICINAS FERREIRA HORACIO_COSTA_ECOB</t>
        </is>
      </c>
      <c r="H286" s="55" t="inlineStr">
        <is>
          <t>HORACIO COSTA</t>
        </is>
      </c>
      <c r="I286" s="55" t="inlineStr">
        <is>
          <t>Paulo</t>
        </is>
      </c>
      <c r="J286" s="55" t="inlineStr">
        <is>
          <t>Luis</t>
        </is>
      </c>
      <c r="K286" s="55" t="inlineStr">
        <is>
          <t>Falta Paneles fábrica</t>
        </is>
      </c>
      <c r="L286" s="103" t="e">
        <v>#REF!</v>
      </c>
      <c r="M286" s="59" t="inlineStr">
        <is>
          <t>Repposicion al cliente</t>
        </is>
      </c>
      <c r="N286" s="55" t="inlineStr">
        <is>
          <t>Comprobar las piezas antes de empaquetar</t>
        </is>
      </c>
      <c r="O286" s="46" t="inlineStr">
        <is>
          <t>El cliente nos indica que le faltan las piezas. Algunas cuadra que no las hayamos fabricado y otras deberían haberlas recibido ya que han recibido el resto de piezas cortadas de ese mismo panel. Nosotros nos hacemos cargo de la fabricación y ellos del envío</t>
        </is>
      </c>
      <c r="P286" s="101" t="n">
        <v>468</v>
      </c>
      <c r="Q286" s="102" t="n"/>
      <c r="R286" s="102" t="n"/>
      <c r="S286" s="55" t="e">
        <v>#REF!</v>
      </c>
    </row>
    <row r="287" ht="30" customHeight="1">
      <c r="A287" s="50" t="inlineStr">
        <is>
          <t>CP289</t>
        </is>
      </c>
      <c r="B287" s="50" t="inlineStr">
        <is>
          <t>CERRADA</t>
        </is>
      </c>
      <c r="C287" s="51" t="n"/>
      <c r="D287" s="52" t="n"/>
      <c r="E287" s="53" t="n">
        <v>45657</v>
      </c>
      <c r="F287" s="52" t="n">
        <v>7538</v>
      </c>
      <c r="G287" s="50" t="inlineStr">
        <is>
          <t>83. 00. REP-ERF. 7538. ABSOTEC EC37 P.24.249 MEDPAR BIS CY</t>
        </is>
      </c>
      <c r="H287" s="50" t="inlineStr">
        <is>
          <t>ABSOTEC</t>
        </is>
      </c>
      <c r="I287" s="50" t="inlineStr">
        <is>
          <t>Jorge Bellido</t>
        </is>
      </c>
      <c r="J287" s="50" t="inlineStr">
        <is>
          <t>Roberto</t>
        </is>
      </c>
      <c r="K287" s="50" t="inlineStr">
        <is>
          <t>Fabricación</t>
        </is>
      </c>
      <c r="L287" s="50" t="e">
        <v>#REF!</v>
      </c>
      <c r="M287" s="54" t="inlineStr">
        <is>
          <t>Reposición al cliente</t>
        </is>
      </c>
      <c r="N287" s="50" t="inlineStr">
        <is>
          <t>Revisar PARAMETROS corte antes de cortar, y si hay dudas por ser algo especial, llamar al técnico.</t>
        </is>
      </c>
      <c r="O287" s="47" t="inlineStr">
        <is>
          <t>Es una ampliación de pedido en el que el cliente y en archivo de corte se indican 45º y se han cortado a 30º</t>
        </is>
      </c>
      <c r="P287" s="98" t="n">
        <v>580</v>
      </c>
      <c r="Q287" s="99" t="n"/>
      <c r="R287" s="99" t="n"/>
      <c r="S287" s="50" t="e">
        <v>#REF!</v>
      </c>
    </row>
    <row r="288" ht="30" customHeight="1">
      <c r="A288" s="55" t="inlineStr">
        <is>
          <t>CP290</t>
        </is>
      </c>
      <c r="B288" s="55" t="inlineStr">
        <is>
          <t>CERRADA</t>
        </is>
      </c>
      <c r="C288" s="56" t="n"/>
      <c r="E288" s="58" t="n">
        <v>45657</v>
      </c>
      <c r="F288" s="57" t="n">
        <v>5942</v>
      </c>
      <c r="G288" s="55" t="inlineStr">
        <is>
          <t>94. 00. REP-RECLI 5942. 00. SERINAC 7356.00. ADOLFO PEREZ</t>
        </is>
      </c>
      <c r="H288" s="55" t="inlineStr">
        <is>
          <t>ADOLFO PEREZ</t>
        </is>
      </c>
      <c r="I288" s="55" t="inlineStr">
        <is>
          <t>-</t>
        </is>
      </c>
      <c r="J288" s="55" t="inlineStr">
        <is>
          <t>Emilio</t>
        </is>
      </c>
      <c r="K288" s="55" t="inlineStr">
        <is>
          <t>Rechazo CLIENTE</t>
        </is>
      </c>
      <c r="L288" s="55" t="e">
        <v>#REF!</v>
      </c>
      <c r="M288" s="59" t="inlineStr">
        <is>
          <t>Reposición al cliente</t>
        </is>
      </c>
      <c r="N288" s="104" t="inlineStr">
        <is>
          <t>Revisar que no estén duros los botes de adhesivo turbo</t>
        </is>
      </c>
      <c r="O288" s="46" t="inlineStr">
        <is>
          <t>Se envían 15 uds de cola turbo, el cliente intenta aplicarla y le es imposible debido a la dureza de esta. COMPROBAMOS QUE EL ADHESIO NO ESTÁ CADUCADO.</t>
        </is>
      </c>
      <c r="P288" s="101" t="n"/>
      <c r="Q288" s="102" t="n"/>
      <c r="R288" s="102" t="n"/>
      <c r="S288" s="55" t="e">
        <v>#REF!</v>
      </c>
    </row>
    <row r="289" ht="45" customHeight="1">
      <c r="A289" s="50" t="inlineStr">
        <is>
          <t>CP291</t>
        </is>
      </c>
      <c r="B289" s="50" t="inlineStr">
        <is>
          <t>CERRADA</t>
        </is>
      </c>
      <c r="C289" s="51" t="n"/>
      <c r="D289" s="52" t="n"/>
      <c r="E289" s="53" t="n">
        <v>45657</v>
      </c>
      <c r="F289" s="52" t="n">
        <v>7182</v>
      </c>
      <c r="G289" s="50" t="inlineStr">
        <is>
          <t>103. 00. REP-FC 7182. 00. AMARTEC LLC-24-4359 SANT CUGAT CA</t>
        </is>
      </c>
      <c r="H289" s="50" t="inlineStr">
        <is>
          <t>AMARTEC</t>
        </is>
      </c>
      <c r="I289" s="50" t="inlineStr">
        <is>
          <t>Manel</t>
        </is>
      </c>
      <c r="J289" s="50" t="inlineStr">
        <is>
          <t>Mónica</t>
        </is>
      </c>
      <c r="K289" s="50" t="inlineStr">
        <is>
          <t>Falta Componentes</t>
        </is>
      </c>
      <c r="L289" s="50" t="e">
        <v>#REF!</v>
      </c>
      <c r="M289" s="54" t="inlineStr">
        <is>
          <t>Reposición al cliente</t>
        </is>
      </c>
      <c r="N289" s="50" t="inlineStr">
        <is>
          <t>Indicar los componentes al principio de la tarjeta de Trello. Comprobar que se envían todos los artículos</t>
        </is>
      </c>
      <c r="O289" s="47" t="inlineStr">
        <is>
          <t>No se enviaron los botes de adhesivo</t>
        </is>
      </c>
      <c r="P289" s="98" t="n">
        <v>83.84999999999999</v>
      </c>
      <c r="Q289" s="99" t="n"/>
      <c r="R289" s="99" t="n"/>
      <c r="S289" s="50" t="e">
        <v>#REF!</v>
      </c>
    </row>
    <row r="290" ht="30" customHeight="1">
      <c r="A290" s="55" t="inlineStr">
        <is>
          <t>CP292</t>
        </is>
      </c>
      <c r="B290" s="55" t="inlineStr">
        <is>
          <t>CERRADA</t>
        </is>
      </c>
      <c r="C290" s="56" t="n"/>
      <c r="E290" s="58" t="n">
        <v>45657</v>
      </c>
      <c r="F290" s="57" t="n">
        <v>6983</v>
      </c>
      <c r="G290" s="55" t="inlineStr">
        <is>
          <t>116. 00. REP-MP 6983. 00. UNIK MARRONES CAT</t>
        </is>
      </c>
      <c r="H290" s="55" t="inlineStr">
        <is>
          <t>UNIK FOR YOU</t>
        </is>
      </c>
      <c r="I290" s="55" t="inlineStr">
        <is>
          <t>Manel</t>
        </is>
      </c>
      <c r="J290" s="55" t="inlineStr">
        <is>
          <t>Mónica</t>
        </is>
      </c>
      <c r="K290" s="55" t="inlineStr">
        <is>
          <t>Defecto Materia Prima</t>
        </is>
      </c>
      <c r="L290" s="55" t="e">
        <v>#REF!</v>
      </c>
      <c r="M290" s="59" t="inlineStr">
        <is>
          <t>Reposición al cliente</t>
        </is>
      </c>
      <c r="N290" s="55" t="inlineStr">
        <is>
          <t>Revisar que los paneles no estén manchados en todos los procesos de fabricación</t>
        </is>
      </c>
      <c r="O290" s="46" t="inlineStr">
        <is>
          <t>Uno de los paneles estaba manchado.</t>
        </is>
      </c>
      <c r="P290" s="101" t="n">
        <v>112.68</v>
      </c>
      <c r="Q290" s="102" t="n"/>
      <c r="R290" s="102" t="n"/>
      <c r="S290" s="55" t="e">
        <v>#REF!</v>
      </c>
    </row>
    <row r="291" ht="30" customHeight="1">
      <c r="A291" s="50" t="inlineStr">
        <is>
          <t>CP293</t>
        </is>
      </c>
      <c r="B291" s="50" t="inlineStr">
        <is>
          <t>CERRADA</t>
        </is>
      </c>
      <c r="C291" s="51" t="n"/>
      <c r="D291" s="52" t="n"/>
      <c r="E291" s="53" t="n">
        <v>45657</v>
      </c>
      <c r="F291" s="52" t="n">
        <v>7278</v>
      </c>
      <c r="G291" s="50" t="inlineStr">
        <is>
          <t>135. 00. REP-IT 7278 CANE_HERMONVILLE_PHM_INTER_FR</t>
        </is>
      </c>
      <c r="H291" s="50" t="inlineStr">
        <is>
          <t>PHM IMMOBILIER</t>
        </is>
      </c>
      <c r="I291" s="50" t="inlineStr">
        <is>
          <t>Sylvain</t>
        </is>
      </c>
      <c r="J291" s="50" t="inlineStr">
        <is>
          <t>Rashli</t>
        </is>
      </c>
      <c r="K291" s="50" t="inlineStr">
        <is>
          <t>Transporte</t>
        </is>
      </c>
      <c r="L291" s="50" t="e">
        <v>#REF!</v>
      </c>
      <c r="M291" s="54" t="inlineStr">
        <is>
          <t>Reponer al cliente el pedido completo y reclamar al transporte</t>
        </is>
      </c>
      <c r="N291" s="50" t="inlineStr">
        <is>
          <t>Proteger con mucho cuidado los paneles y enviar las mermas dentro de cada pedido</t>
        </is>
      </c>
      <c r="O291" s="47" t="inlineStr">
        <is>
          <t>Reponer 1. El panel tenía una esquina con el material de protección levantado y todos los paneles por dentro golpeados.</t>
        </is>
      </c>
      <c r="P291" s="98" t="n">
        <v>2130</v>
      </c>
      <c r="Q291" s="99" t="n"/>
      <c r="R291" s="99" t="n"/>
      <c r="S291" s="50" t="e">
        <v>#REF!</v>
      </c>
    </row>
    <row r="292" ht="30" customHeight="1">
      <c r="A292" s="55" t="inlineStr">
        <is>
          <t>CP294</t>
        </is>
      </c>
      <c r="B292" s="55" t="inlineStr">
        <is>
          <t>CERRADA</t>
        </is>
      </c>
      <c r="C292" s="58" t="n"/>
      <c r="D292" s="57" t="n">
        <v>136</v>
      </c>
      <c r="E292" s="105" t="n">
        <v>45659</v>
      </c>
      <c r="F292" s="57" t="n">
        <v>7280</v>
      </c>
      <c r="G292" s="55" t="inlineStr">
        <is>
          <t>136. 00. REP-IT 7280 CANE_SOISSONS REPUBLIQUE_PHM_INTER_FR</t>
        </is>
      </c>
      <c r="H292" s="55" t="inlineStr">
        <is>
          <t>PHM IMMOBILIER</t>
        </is>
      </c>
      <c r="I292" s="55" t="inlineStr">
        <is>
          <t>Sylvain</t>
        </is>
      </c>
      <c r="J292" s="55" t="inlineStr">
        <is>
          <t>Rashli</t>
        </is>
      </c>
      <c r="K292" s="55" t="inlineStr">
        <is>
          <t>Transporte</t>
        </is>
      </c>
      <c r="L292" s="55" t="e">
        <v>#REF!</v>
      </c>
      <c r="M292" s="59" t="inlineStr">
        <is>
          <t>Reponer al cliente el pedido completo y reclamar al transporte</t>
        </is>
      </c>
      <c r="N292" s="55" t="inlineStr">
        <is>
          <t>Proteger con mucho cuidado los paneles y enviar las mermas dentro de cada pedido</t>
        </is>
      </c>
      <c r="O292" s="46" t="inlineStr">
        <is>
          <t>Reponer 8 paneles. El paquete estaba completamente golpeado y abierto</t>
        </is>
      </c>
      <c r="P292" s="101" t="n">
        <v>397.5</v>
      </c>
      <c r="Q292" s="102" t="n"/>
      <c r="R292" s="102" t="n"/>
      <c r="S292" s="55" t="e">
        <v>#REF!</v>
      </c>
    </row>
    <row r="293" ht="30" customHeight="1">
      <c r="A293" s="50" t="inlineStr">
        <is>
          <t>CP295</t>
        </is>
      </c>
      <c r="B293" s="50" t="inlineStr">
        <is>
          <t>CERRADA</t>
        </is>
      </c>
      <c r="C293" s="53" t="n"/>
      <c r="D293" s="52" t="n">
        <v>184</v>
      </c>
      <c r="E293" s="105" t="n">
        <v>45679</v>
      </c>
      <c r="F293" s="52" t="n">
        <v>7222</v>
      </c>
      <c r="G293" s="50" t="inlineStr">
        <is>
          <t>184. 00. REP-IT 7222. 00. EXTREDECOR FOAM BASIC EXT</t>
        </is>
      </c>
      <c r="H293" s="50" t="inlineStr">
        <is>
          <t>Extredecor</t>
        </is>
      </c>
      <c r="I293" s="50" t="inlineStr">
        <is>
          <t>Jorge Blanco</t>
        </is>
      </c>
      <c r="J293" s="50" t="inlineStr">
        <is>
          <t>Belén</t>
        </is>
      </c>
      <c r="K293" s="50" t="inlineStr">
        <is>
          <t>Transporte</t>
        </is>
      </c>
      <c r="L293" s="50" t="e">
        <v>#REF!</v>
      </c>
      <c r="M293" s="54" t="inlineStr">
        <is>
          <t>Reponer la pieza dañada</t>
        </is>
      </c>
      <c r="N293" s="50" t="inlineStr">
        <is>
          <t>Pedir al transporte que teng amas cuidado con los paquetes</t>
        </is>
      </c>
      <c r="O293" s="47" t="inlineStr">
        <is>
          <t>Enviar una pieza de foam 580*580*40mm en color ECO-125. El paquete ha llegado con un agujero y se ha dañado un panel</t>
        </is>
      </c>
      <c r="P293" s="98" t="n">
        <v>188.18</v>
      </c>
      <c r="Q293" s="99" t="n"/>
      <c r="R293" s="99" t="n"/>
      <c r="S293" s="50" t="e">
        <v>#REF!</v>
      </c>
    </row>
    <row r="294" ht="30" customHeight="1">
      <c r="A294" s="55" t="inlineStr">
        <is>
          <t>CP296</t>
        </is>
      </c>
      <c r="B294" s="55" t="inlineStr">
        <is>
          <t>CERRADA</t>
        </is>
      </c>
      <c r="C294" s="58" t="n"/>
      <c r="D294" s="57" t="n">
        <v>186</v>
      </c>
      <c r="E294" s="58" t="n">
        <v>45657</v>
      </c>
      <c r="F294" s="57" t="n">
        <v>7320</v>
      </c>
      <c r="G294" s="55" t="inlineStr">
        <is>
          <t>186. 00. REP-DC 7320. 00. ALTO LA ERA CONSTRUCCIONES REF GI</t>
        </is>
      </c>
      <c r="H294" s="55" t="inlineStr">
        <is>
          <t>Alto de la Era</t>
        </is>
      </c>
      <c r="I294" s="55" t="inlineStr">
        <is>
          <t>Jorge Blanco</t>
        </is>
      </c>
      <c r="J294" s="55" t="inlineStr">
        <is>
          <t>Belén</t>
        </is>
      </c>
      <c r="K294" s="55" t="inlineStr">
        <is>
          <t>Defecto por cliente</t>
        </is>
      </c>
      <c r="L294" s="55" t="e">
        <v>#REF!</v>
      </c>
      <c r="M294" s="59" t="inlineStr">
        <is>
          <t>Reponer la pieza que falta</t>
        </is>
      </c>
      <c r="N294" s="55" t="inlineStr">
        <is>
          <t>Revisar que todas las cajas van completas</t>
        </is>
      </c>
      <c r="O294" s="46" t="inlineStr">
        <is>
          <t>Enviamos la pieza a coste dto 60% a asumir mitad y mitad con J.Blanco. Enviar una pieza 1180*1180*40mm porque el cliente dice que les han llegado 47 y no 48 como pagó</t>
        </is>
      </c>
      <c r="P294" s="101">
        <f>185.4/2</f>
        <v/>
      </c>
      <c r="Q294" s="102" t="n"/>
      <c r="R294" s="102" t="n"/>
      <c r="S294" s="55" t="e">
        <v>#REF!</v>
      </c>
    </row>
    <row r="295" ht="30" customHeight="1">
      <c r="A295" s="50" t="inlineStr">
        <is>
          <t>CP297</t>
        </is>
      </c>
      <c r="B295" s="50" t="inlineStr">
        <is>
          <t>CERRADA</t>
        </is>
      </c>
      <c r="C295" s="53" t="n"/>
      <c r="D295" s="52" t="n">
        <v>185</v>
      </c>
      <c r="E295" s="53" t="n">
        <v>45657</v>
      </c>
      <c r="F295" s="52" t="n">
        <v>7751</v>
      </c>
      <c r="G295" s="50" t="inlineStr">
        <is>
          <t>185. 00. REP-ERF 7751. 00. TABICMON ISLAS PERSONALIZADAS CA</t>
        </is>
      </c>
      <c r="H295" s="50" t="inlineStr">
        <is>
          <t>TABICMÓN</t>
        </is>
      </c>
      <c r="I295" s="50" t="inlineStr">
        <is>
          <t>Manel</t>
        </is>
      </c>
      <c r="J295" s="50" t="inlineStr">
        <is>
          <t>Angela</t>
        </is>
      </c>
      <c r="K295" s="50" t="inlineStr">
        <is>
          <t>Fabricación</t>
        </is>
      </c>
      <c r="L295" s="50" t="e">
        <v>#REF!</v>
      </c>
      <c r="M295" s="54" t="inlineStr">
        <is>
          <t>Reposición de las piezas con los tacos sin pegar</t>
        </is>
      </c>
      <c r="N295" s="50" t="inlineStr">
        <is>
          <t>Revisar entre técnico y operario la forma de pegar los tacos a las islas personalizadas</t>
        </is>
      </c>
      <c r="O295" s="47" t="inlineStr">
        <is>
          <t>El pedido consistía en una isla de medida irregular constituída de varias piezas. Los tacos de algunas piezas se pegaron por la cara incorrecta del panel</t>
        </is>
      </c>
      <c r="P295" s="98" t="n">
        <v>689.7</v>
      </c>
      <c r="Q295" s="99" t="n"/>
      <c r="R295" s="99" t="n"/>
      <c r="S295" s="50" t="e">
        <v>#REF!</v>
      </c>
    </row>
    <row r="296" ht="30" customHeight="1">
      <c r="A296" s="55" t="inlineStr">
        <is>
          <t>CP298</t>
        </is>
      </c>
      <c r="B296" s="55" t="inlineStr">
        <is>
          <t>CERRADA</t>
        </is>
      </c>
      <c r="C296" s="58" t="n"/>
      <c r="D296" s="57" t="n">
        <v>305</v>
      </c>
      <c r="E296" s="105" t="n">
        <v>45665</v>
      </c>
      <c r="F296" s="57" t="n">
        <v>6952</v>
      </c>
      <c r="G296" s="55" t="inlineStr">
        <is>
          <t>305. 01. REP-PI 6952 OFILLORCA ECOBASIC PANEL PARA LOGO BAL</t>
        </is>
      </c>
      <c r="H296" s="55" t="inlineStr">
        <is>
          <t>OFILLORCA</t>
        </is>
      </c>
      <c r="I296" s="55" t="inlineStr">
        <is>
          <t>Jose Luis Chico</t>
        </is>
      </c>
      <c r="J296" s="55" t="inlineStr">
        <is>
          <t>Luis</t>
        </is>
      </c>
      <c r="K296" s="55" t="inlineStr">
        <is>
          <t>Pintura</t>
        </is>
      </c>
      <c r="L296" s="55" t="e">
        <v>#REF!</v>
      </c>
      <c r="M296" s="59" t="inlineStr">
        <is>
          <t>Reposicion de los logos al cliente</t>
        </is>
      </c>
      <c r="N296" s="55" t="inlineStr">
        <is>
          <t>Si no se sabe como pintar, preguntar al tecnico</t>
        </is>
      </c>
      <c r="O296" s="46" t="inlineStr">
        <is>
          <t>Se han pintado algunas letras por la cara correcta y otras no</t>
        </is>
      </c>
      <c r="P296" s="101" t="n">
        <v>188.76</v>
      </c>
      <c r="Q296" s="102" t="n"/>
      <c r="R296" s="102" t="n"/>
      <c r="S296" s="55" t="e">
        <v>#REF!</v>
      </c>
    </row>
    <row r="297" ht="30" customHeight="1">
      <c r="A297" s="50" t="inlineStr">
        <is>
          <t>CP299</t>
        </is>
      </c>
      <c r="B297" s="50" t="inlineStr">
        <is>
          <t>CERRADA</t>
        </is>
      </c>
      <c r="C297" s="53" t="n"/>
      <c r="D297" s="52" t="n">
        <v>317</v>
      </c>
      <c r="E297" s="105" t="n">
        <v>45664</v>
      </c>
      <c r="F297" s="52" t="n">
        <v>7775</v>
      </c>
      <c r="G297" s="50" t="inlineStr">
        <is>
          <t>317. 00. REP-CO 7775 EQUIPAVILES MER VCUT AST</t>
        </is>
      </c>
      <c r="H297" s="50" t="inlineStr">
        <is>
          <t>EQUIPAVILES</t>
        </is>
      </c>
      <c r="I297" s="50" t="inlineStr">
        <is>
          <t>Covadonga</t>
        </is>
      </c>
      <c r="J297" s="50" t="inlineStr">
        <is>
          <t>Rashli</t>
        </is>
      </c>
      <c r="K297" s="50" t="inlineStr">
        <is>
          <t>Color - Lote - Diferencia</t>
        </is>
      </c>
      <c r="L297" s="50" t="e">
        <v>#REF!</v>
      </c>
      <c r="M297" s="54" t="inlineStr">
        <is>
          <t>Revisar los lotes de los pedidos + medidas de los paneles</t>
        </is>
      </c>
      <c r="N297" s="50" t="inlineStr">
        <is>
          <t>Reponer el pedido completo para que sean del mismo lote + medidas solicitadas</t>
        </is>
      </c>
      <c r="O297" s="47" t="inlineStr">
        <is>
          <t>Se hizo una composición de 4 paneles y hay dos tonalidades diferentes muy marcadas. Además pidideron que cortarámos a emdida y no se hizo.</t>
        </is>
      </c>
      <c r="P297" s="98">
        <f>926.38+154.4</f>
        <v/>
      </c>
      <c r="Q297" s="99" t="n"/>
      <c r="R297" s="99" t="n"/>
      <c r="S297" s="50" t="e">
        <v>#REF!</v>
      </c>
    </row>
    <row r="298" ht="30" customHeight="1">
      <c r="A298" s="55" t="inlineStr">
        <is>
          <t>CP300</t>
        </is>
      </c>
      <c r="B298" s="55" t="inlineStr">
        <is>
          <t>CERRADA</t>
        </is>
      </c>
      <c r="C298" s="58" t="n"/>
      <c r="D298" s="57" t="n">
        <v>317</v>
      </c>
      <c r="E298" s="105" t="n">
        <v>45664</v>
      </c>
      <c r="F298" s="57" t="n">
        <v>7775</v>
      </c>
      <c r="G298" s="55" t="inlineStr">
        <is>
          <t>317. 00. REP-CAD 7775 EQUIPAVILES MER VCUT AST</t>
        </is>
      </c>
      <c r="H298" s="55" t="inlineStr">
        <is>
          <t>EQUIPAVILES</t>
        </is>
      </c>
      <c r="I298" s="55" t="inlineStr">
        <is>
          <t>Covadonga</t>
        </is>
      </c>
      <c r="J298" s="55" t="inlineStr">
        <is>
          <t>Rashli</t>
        </is>
      </c>
      <c r="K298" s="55" t="inlineStr">
        <is>
          <t>Error CAD</t>
        </is>
      </c>
      <c r="L298" s="55" t="e">
        <v>#REF!</v>
      </c>
      <c r="M298" s="59" t="inlineStr">
        <is>
          <t>Revisar los lotes de los pedidos + medidas de los paneles</t>
        </is>
      </c>
      <c r="N298" s="55" t="inlineStr">
        <is>
          <t>Reponer el pedido completo para que sean del mismo lote + medidas solicitadas</t>
        </is>
      </c>
      <c r="O298" s="46" t="inlineStr">
        <is>
          <t>Se hizo una composición de 4 paneles y hay dos tonalidades diferentes muy marcadas. Además pidideron que cortarámos a emdida y no se hizo.</t>
        </is>
      </c>
      <c r="P298" s="101" t="n">
        <v>1880.82</v>
      </c>
      <c r="Q298" s="102" t="n"/>
      <c r="R298" s="102" t="n"/>
      <c r="S298" s="55" t="e">
        <v>#REF!</v>
      </c>
    </row>
    <row r="299" ht="30" customHeight="1">
      <c r="A299" s="50" t="inlineStr">
        <is>
          <t>CP301</t>
        </is>
      </c>
      <c r="B299" s="50" t="inlineStr">
        <is>
          <t>CERRADA</t>
        </is>
      </c>
      <c r="C299" s="53" t="n"/>
      <c r="D299" s="52" t="n">
        <v>329</v>
      </c>
      <c r="E299" s="53" t="n">
        <v>45657</v>
      </c>
      <c r="F299" s="52" t="n">
        <v>7881</v>
      </c>
      <c r="G299" s="50" t="inlineStr">
        <is>
          <t>329. 00. REP-CO 7881.00 TETRIS AMPLIACION  AMADEUS MAD</t>
        </is>
      </c>
      <c r="H299" s="50" t="inlineStr">
        <is>
          <t>TETRIS</t>
        </is>
      </c>
      <c r="I299" s="50" t="inlineStr">
        <is>
          <t xml:space="preserve">Ricardo </t>
        </is>
      </c>
      <c r="J299" s="50" t="inlineStr">
        <is>
          <t>Angela</t>
        </is>
      </c>
      <c r="K299" s="50" t="inlineStr">
        <is>
          <t>Color - Lote - Diferencia</t>
        </is>
      </c>
      <c r="L299" s="50" t="e">
        <v>#REF!</v>
      </c>
      <c r="M299" s="54" t="inlineStr">
        <is>
          <t>Revisar los lotes y caras del pedido</t>
        </is>
      </c>
      <c r="N299" s="50" t="inlineStr">
        <is>
          <t>Reponer una placa  con mismo lote</t>
        </is>
      </c>
      <c r="O299" s="47" t="inlineStr">
        <is>
          <t>Hay un cambio de tono en una pieza por lote</t>
        </is>
      </c>
      <c r="P299" s="98" t="n">
        <v>176</v>
      </c>
      <c r="Q299" s="99" t="n"/>
      <c r="R299" s="99" t="n"/>
      <c r="S299" s="50" t="e">
        <v>#REF!</v>
      </c>
    </row>
    <row r="300" ht="30" customHeight="1">
      <c r="A300" s="55" t="inlineStr">
        <is>
          <t>CP302</t>
        </is>
      </c>
      <c r="B300" s="55" t="inlineStr">
        <is>
          <t>CERRADA</t>
        </is>
      </c>
      <c r="C300" s="58" t="n"/>
      <c r="D300" s="57" t="n">
        <v>234</v>
      </c>
      <c r="E300" s="58" t="n">
        <v>45657</v>
      </c>
      <c r="F300" s="57" t="n">
        <v>4864</v>
      </c>
      <c r="G300" s="55" t="inlineStr">
        <is>
          <t>234. 01. REP-IT. 4864 AMPA SANT JORDI FOAM COLEGIO CAT</t>
        </is>
      </c>
      <c r="H300" s="55" t="inlineStr">
        <is>
          <t>QUIM SERRAT</t>
        </is>
      </c>
      <c r="I300" s="55" t="inlineStr">
        <is>
          <t>MANEL</t>
        </is>
      </c>
      <c r="J300" s="55" t="inlineStr">
        <is>
          <t>Angela</t>
        </is>
      </c>
      <c r="K300" s="55" t="inlineStr">
        <is>
          <t>Transporte</t>
        </is>
      </c>
      <c r="L300" s="55" t="e">
        <v>#REF!</v>
      </c>
      <c r="M300" s="59" t="inlineStr">
        <is>
          <t>proteger mejor paneles sobre todo cuando vaya pintado y ojo a plantillas</t>
        </is>
      </c>
      <c r="N300" s="55" t="inlineStr">
        <is>
          <t>Enviar 1 isla y plantillas</t>
        </is>
      </c>
      <c r="O300" s="46" t="inlineStr">
        <is>
          <t>Le llegaron dos islas dañadas, solo nos reclama una a reponer, también les faltaron las plantillas de cartón</t>
        </is>
      </c>
      <c r="P300" s="101" t="n">
        <v>131</v>
      </c>
      <c r="Q300" s="102" t="inlineStr">
        <is>
          <t>PVP</t>
        </is>
      </c>
      <c r="R300" s="102" t="n"/>
      <c r="S300" s="55" t="e">
        <v>#REF!</v>
      </c>
    </row>
    <row r="301" ht="30" customHeight="1">
      <c r="A301" s="50" t="inlineStr">
        <is>
          <t>CP303</t>
        </is>
      </c>
      <c r="B301" s="50" t="inlineStr">
        <is>
          <t>CERRADA</t>
        </is>
      </c>
      <c r="C301" s="53" t="n"/>
      <c r="D301" s="52" t="n">
        <v>399</v>
      </c>
      <c r="E301" s="105" t="n">
        <v>45660</v>
      </c>
      <c r="F301" s="52" t="n">
        <v>7747</v>
      </c>
      <c r="G301" s="50" t="inlineStr">
        <is>
          <t>399. 00. REP-ERF 7747 TERAPIE INTEGRATE_A2LAB_BASIC FOAM &amp;</t>
        </is>
      </c>
      <c r="H301" s="50" t="inlineStr">
        <is>
          <t>A2LAB</t>
        </is>
      </c>
      <c r="I301" s="50" t="inlineStr">
        <is>
          <t>Rafik</t>
        </is>
      </c>
      <c r="J301" s="50" t="inlineStr">
        <is>
          <t>Luis</t>
        </is>
      </c>
      <c r="K301" s="50" t="inlineStr">
        <is>
          <t>Fabricación</t>
        </is>
      </c>
      <c r="L301" s="50" t="inlineStr">
        <is>
          <t>Fábrica</t>
        </is>
      </c>
      <c r="M301" s="54" t="inlineStr">
        <is>
          <t>Reposicion al cliente</t>
        </is>
      </c>
      <c r="N301" s="50" t="inlineStr">
        <is>
          <t>Empaquetar bien los paneles, usar nuevo separador</t>
        </is>
      </c>
      <c r="O301" s="47" t="inlineStr">
        <is>
          <t>Al cliente le han llegado 4 paneles basic marcados por mal empaquetado</t>
        </is>
      </c>
      <c r="P301" s="98" t="n">
        <v>253</v>
      </c>
      <c r="Q301" s="99" t="n"/>
      <c r="R301" s="99" t="n"/>
      <c r="S301" s="50" t="e">
        <v>#REF!</v>
      </c>
    </row>
    <row r="302" ht="30" customHeight="1">
      <c r="A302" s="55" t="inlineStr">
        <is>
          <t>CP304</t>
        </is>
      </c>
      <c r="B302" s="55" t="inlineStr">
        <is>
          <t>CERRADA</t>
        </is>
      </c>
      <c r="C302" s="58" t="n"/>
      <c r="D302" s="57" t="n">
        <v>457</v>
      </c>
      <c r="E302" s="105" t="n">
        <v>45673</v>
      </c>
      <c r="F302" s="57" t="n">
        <v>185</v>
      </c>
      <c r="G302" s="55" t="inlineStr">
        <is>
          <t>457. 00. REP-MP 185. 00. REP-ERF 7751. 00. TABICMON ISLAS P</t>
        </is>
      </c>
      <c r="H302" s="55" t="inlineStr">
        <is>
          <t xml:space="preserve">TABICMÓN </t>
        </is>
      </c>
      <c r="I302" s="55" t="inlineStr">
        <is>
          <t>Manel</t>
        </is>
      </c>
      <c r="J302" s="55" t="inlineStr">
        <is>
          <t>Mónica</t>
        </is>
      </c>
      <c r="K302" s="55" t="inlineStr">
        <is>
          <t>Defecto Materia Prima</t>
        </is>
      </c>
      <c r="L302" s="55" t="e">
        <v>#REF!</v>
      </c>
      <c r="M302" s="59" t="inlineStr">
        <is>
          <t>Reposición de 3 piezas al cliente</t>
        </is>
      </c>
      <c r="N302" s="55" t="inlineStr">
        <is>
          <t>Revisar que los paneles no estén manchados en todos los procesos de fabricación</t>
        </is>
      </c>
      <c r="O302" s="46" t="inlineStr">
        <is>
          <t>Una de las piezas estaba manchada. Se repiten las 3 piezas</t>
        </is>
      </c>
      <c r="P302" s="101" t="n">
        <v>229.9</v>
      </c>
      <c r="Q302" s="102" t="n"/>
      <c r="R302" s="102" t="n"/>
      <c r="S302" s="55" t="e">
        <v>#REF!</v>
      </c>
    </row>
    <row r="303" ht="30" customHeight="1">
      <c r="A303" s="50" t="inlineStr">
        <is>
          <t>CP305</t>
        </is>
      </c>
      <c r="B303" s="50" t="inlineStr">
        <is>
          <t>CERRADA</t>
        </is>
      </c>
      <c r="C303" s="53" t="n"/>
      <c r="D303" s="52" t="n">
        <v>492</v>
      </c>
      <c r="E303" s="53" t="n">
        <v>45657</v>
      </c>
      <c r="F303" s="52" t="n">
        <v>5766</v>
      </c>
      <c r="G303" s="50" t="inlineStr">
        <is>
          <t>492. 00. REP-DC 5766. 00. ANSE ECONORDIK REF MHRE MAD</t>
        </is>
      </c>
      <c r="H303" s="50" t="inlineStr">
        <is>
          <t>ANSE</t>
        </is>
      </c>
      <c r="I303" s="50" t="inlineStr">
        <is>
          <t>Manel</t>
        </is>
      </c>
      <c r="J303" s="50" t="inlineStr">
        <is>
          <t>Angela</t>
        </is>
      </c>
      <c r="K303" s="50" t="inlineStr">
        <is>
          <t>Defecto por cliente</t>
        </is>
      </c>
      <c r="L303" s="50" t="e">
        <v>#REF!</v>
      </c>
      <c r="M303" s="54" t="inlineStr">
        <is>
          <t>Enviar 1 bote de pintura al cliente</t>
        </is>
      </c>
      <c r="N303" s="104" t="inlineStr">
        <is>
          <t>Tal vez enviar un bote pequeño de pintura con ECOnordik lacado</t>
        </is>
      </c>
      <c r="O303" s="47" t="inlineStr">
        <is>
          <t xml:space="preserve">Tienen 2 paneles ECOnordik lacados tenían defectos en la pintura </t>
        </is>
      </c>
      <c r="P303" s="98" t="n"/>
      <c r="Q303" s="99" t="n"/>
      <c r="R303" s="99" t="n"/>
      <c r="S303" s="50" t="e">
        <v>#REF!</v>
      </c>
    </row>
    <row r="304" ht="30" customHeight="1">
      <c r="A304" s="55" t="inlineStr">
        <is>
          <t>CP306</t>
        </is>
      </c>
      <c r="B304" s="55" t="inlineStr">
        <is>
          <t>CERRADA</t>
        </is>
      </c>
      <c r="C304" s="58" t="n"/>
      <c r="D304" s="57" t="n">
        <v>495</v>
      </c>
      <c r="E304" s="105" t="n">
        <v>45673</v>
      </c>
      <c r="F304" s="57" t="n">
        <v>7351</v>
      </c>
      <c r="G304" s="55" t="inlineStr">
        <is>
          <t>495. 00. REP-ERF 7351. ADECUA BRANDING V-CUT CV</t>
        </is>
      </c>
      <c r="H304" s="55" t="inlineStr">
        <is>
          <t>ADECUA</t>
        </is>
      </c>
      <c r="I304" s="55" t="inlineStr">
        <is>
          <t>Javier Hernández</t>
        </is>
      </c>
      <c r="J304" s="55" t="inlineStr">
        <is>
          <t>Belén</t>
        </is>
      </c>
      <c r="K304" s="55" t="inlineStr">
        <is>
          <t>Fabricación</t>
        </is>
      </c>
      <c r="L304" s="55" t="e">
        <v>#REF!</v>
      </c>
      <c r="M304" s="59" t="inlineStr">
        <is>
          <t>Enviar la composición entera de los paneles</t>
        </is>
      </c>
      <c r="N304" s="55" t="inlineStr">
        <is>
          <t>Leer bien las indicaciones de corte + Aclarar como se tiene que indicar el corte más bisel</t>
        </is>
      </c>
      <c r="O304" s="46" t="inlineStr">
        <is>
          <t>3 paneles 2340*1170*12mm biselados y pintados en el RAL2008 + 5 ADHESIVO. En el archivo de corte indicaba cómo se debía cortar pero no se leyeron esas lineas</t>
        </is>
      </c>
      <c r="P304" s="101" t="n">
        <v>1220.89</v>
      </c>
      <c r="Q304" s="102" t="n"/>
      <c r="R304" s="102" t="n"/>
      <c r="S304" s="55" t="e">
        <v>#REF!</v>
      </c>
    </row>
    <row r="305" ht="30" customHeight="1">
      <c r="A305" s="50" t="inlineStr">
        <is>
          <t>CP307</t>
        </is>
      </c>
      <c r="B305" s="50" t="inlineStr">
        <is>
          <t>CERRADA</t>
        </is>
      </c>
      <c r="C305" s="53" t="n"/>
      <c r="D305" s="52" t="n">
        <v>551</v>
      </c>
      <c r="E305" s="53" t="n">
        <v>45657</v>
      </c>
      <c r="F305" s="52" t="n">
        <v>6817</v>
      </c>
      <c r="G305" s="50" t="inlineStr">
        <is>
          <t>551. 03. REP-FP 6817 MIABSA CASETONES 9MM PV</t>
        </is>
      </c>
      <c r="H305" s="50" t="inlineStr">
        <is>
          <t>MIABSA</t>
        </is>
      </c>
      <c r="I305" s="50" t="inlineStr">
        <is>
          <t>Jon Rioboo</t>
        </is>
      </c>
      <c r="J305" s="50" t="inlineStr">
        <is>
          <t>Rashli</t>
        </is>
      </c>
      <c r="K305" s="50" t="inlineStr">
        <is>
          <t>Falta Paneles</t>
        </is>
      </c>
      <c r="L305" s="50" t="e">
        <v>#REF!</v>
      </c>
      <c r="M305" s="54" t="inlineStr">
        <is>
          <t>Reponer el panel que falta</t>
        </is>
      </c>
      <c r="N305" s="50" t="inlineStr">
        <is>
          <t>Contar el total de paneles a enviar</t>
        </is>
      </c>
      <c r="O305" s="47" t="inlineStr">
        <is>
          <t>Elc liente pidió una composicón de 11 paneles en total y al montar la composicón se dio cuenta de que le enviamos un panel menos</t>
        </is>
      </c>
      <c r="P305" s="98" t="n">
        <v>0</v>
      </c>
      <c r="Q305" s="99" t="n"/>
      <c r="R305" s="99" t="n"/>
      <c r="S305" s="50" t="e">
        <v>#REF!</v>
      </c>
    </row>
    <row r="306" ht="45" customHeight="1">
      <c r="A306" s="55" t="inlineStr">
        <is>
          <t>CP308</t>
        </is>
      </c>
      <c r="B306" s="55" t="inlineStr">
        <is>
          <t>CERRADA</t>
        </is>
      </c>
      <c r="C306" s="58" t="n"/>
      <c r="D306" s="57" t="n">
        <v>604</v>
      </c>
      <c r="E306" s="105" t="n">
        <v>45670</v>
      </c>
      <c r="F306" s="57" t="n">
        <v>6195</v>
      </c>
      <c r="G306" s="55" t="inlineStr">
        <is>
          <t>604. 00. REP-ERT 6195 EQUONE INTERSUR CLM</t>
        </is>
      </c>
      <c r="H306" s="55" t="inlineStr">
        <is>
          <t>EQUONE</t>
        </is>
      </c>
      <c r="I306" s="55" t="inlineStr">
        <is>
          <t>Angel Cortijo</t>
        </is>
      </c>
      <c r="J306" s="55" t="inlineStr">
        <is>
          <t>Emilio</t>
        </is>
      </c>
      <c r="K306" s="55" t="inlineStr">
        <is>
          <t>Error técnico</t>
        </is>
      </c>
      <c r="L306" s="55" t="e">
        <v>#REF!</v>
      </c>
      <c r="M306" s="59" t="inlineStr">
        <is>
          <t>Reponer las piezas con medidas correctas</t>
        </is>
      </c>
      <c r="N306" s="106" t="inlineStr">
        <is>
          <t>Realizar AMFE de manera más detallada durante el proyecto y durante la realización de los archivos de corte</t>
        </is>
      </c>
      <c r="O306" s="46" t="inlineStr">
        <is>
          <t>A la hora de realizar el encastrado de baffles sobre una trasera, no se tuvo en cuenta el espesor de panel de la trasera. Cayendo los baffles un centímetro por debajo del foseado.</t>
        </is>
      </c>
      <c r="P306" s="101" t="n">
        <v>1320</v>
      </c>
      <c r="Q306" s="102" t="n"/>
      <c r="R306" s="102" t="n"/>
      <c r="S306" s="55" t="e">
        <v>#REF!</v>
      </c>
    </row>
    <row r="307" ht="45" customHeight="1">
      <c r="A307" s="50" t="inlineStr">
        <is>
          <t>CP309</t>
        </is>
      </c>
      <c r="B307" s="50" t="inlineStr">
        <is>
          <t>CERRADA</t>
        </is>
      </c>
      <c r="C307" s="53" t="n"/>
      <c r="D307" s="52" t="n">
        <v>643</v>
      </c>
      <c r="E307" s="53" t="n">
        <v>45657</v>
      </c>
      <c r="F307" s="52" t="n">
        <v>7003</v>
      </c>
      <c r="G307" s="50" t="inlineStr">
        <is>
          <t xml:space="preserve"> 643. 00. REP-DC 7003. 00. SERINAC 7319. 03. PAULA NOVALTHY OFICINAS HUELVA</t>
        </is>
      </c>
      <c r="H307" s="50" t="inlineStr">
        <is>
          <t>DRISCOLL'S</t>
        </is>
      </c>
      <c r="I307" s="50" t="inlineStr">
        <is>
          <t>-</t>
        </is>
      </c>
      <c r="J307" s="50" t="inlineStr">
        <is>
          <t>Emilio</t>
        </is>
      </c>
      <c r="K307" s="50" t="inlineStr">
        <is>
          <t>Defecto por cliente</t>
        </is>
      </c>
      <c r="L307" s="50" t="e">
        <v>#REF!</v>
      </c>
      <c r="M307" s="54" t="inlineStr">
        <is>
          <t>Abono al cliente de las piezas sobrantes</t>
        </is>
      </c>
      <c r="N307" s="50" t="inlineStr">
        <is>
          <t>Asegurar con el cliente si los planos se corresponden con el espacio</t>
        </is>
      </c>
      <c r="O307" s="47" t="inlineStr">
        <is>
          <t>Los planos facilitados por cliente no son correctos, no tienen en cuenta que la superficie total dispone de un perímetro donde no hay estructura para colocar pieas de techo técnico. Sobrando un total de 229 uds. Se utilizarán muchas de ellas para un pedido en curso</t>
        </is>
      </c>
      <c r="P307" s="98" t="n">
        <v>3117.26</v>
      </c>
      <c r="Q307" s="99" t="n"/>
      <c r="R307" s="99" t="n"/>
      <c r="S307" s="50" t="e">
        <v>#REF!</v>
      </c>
    </row>
    <row r="308" ht="30" customHeight="1">
      <c r="A308" s="55" t="inlineStr">
        <is>
          <t>CP310</t>
        </is>
      </c>
      <c r="B308" s="55" t="inlineStr">
        <is>
          <t>CERRADA</t>
        </is>
      </c>
      <c r="C308" s="58" t="n"/>
      <c r="D308" s="57" t="n">
        <v>656</v>
      </c>
      <c r="E308" s="105" t="n">
        <v>45673</v>
      </c>
      <c r="F308" s="57" t="n">
        <v>6941</v>
      </c>
      <c r="G308" s="55" t="inlineStr">
        <is>
          <t>656. 00. REP-IT 6941 MACIF_VALENCE_RESO LPI_ECOBAFFLE_INT_F</t>
        </is>
      </c>
      <c r="H308" s="55" t="inlineStr">
        <is>
          <t>RESO LPI</t>
        </is>
      </c>
      <c r="I308" s="55" t="inlineStr">
        <is>
          <t>Sylvain</t>
        </is>
      </c>
      <c r="J308" s="55" t="inlineStr">
        <is>
          <t>Rashli</t>
        </is>
      </c>
      <c r="K308" s="55" t="inlineStr">
        <is>
          <t>Transporte</t>
        </is>
      </c>
      <c r="L308" s="55" t="e">
        <v>#REF!</v>
      </c>
      <c r="M308" s="59" t="inlineStr">
        <is>
          <t>Reponer al cliente los baffles dañados</t>
        </is>
      </c>
      <c r="N308" s="55" t="inlineStr">
        <is>
          <t>Asegurar la mercancía con mucha cautela</t>
        </is>
      </c>
      <c r="O308" s="46" t="inlineStr">
        <is>
          <t>Al cliente le llegaron 15 baflles con las esquinas golpeadas (reponemos 16 para aprovechar el panel)</t>
        </is>
      </c>
      <c r="P308" s="101" t="n">
        <v>1016.25</v>
      </c>
      <c r="Q308" s="102" t="n"/>
      <c r="R308" s="102" t="n"/>
      <c r="S308" s="55" t="e">
        <v>#REF!</v>
      </c>
    </row>
    <row r="309" ht="30" customHeight="1">
      <c r="A309" s="50" t="inlineStr">
        <is>
          <t>CP311</t>
        </is>
      </c>
      <c r="B309" s="50" t="inlineStr">
        <is>
          <t>CERRADA</t>
        </is>
      </c>
      <c r="C309" s="53" t="n"/>
      <c r="D309" s="52" t="n">
        <v>653</v>
      </c>
      <c r="E309" s="105" t="n">
        <v>45671</v>
      </c>
      <c r="F309" s="52" t="n">
        <v>7762</v>
      </c>
      <c r="G309" s="50" t="inlineStr">
        <is>
          <t>653. 01. REP-ERT 7762. 00. LA PREEMINENTE O240068 SAVILLS N</t>
        </is>
      </c>
      <c r="H309" s="50" t="inlineStr">
        <is>
          <t>LA PREEMINENTE</t>
        </is>
      </c>
      <c r="I309" s="50" t="inlineStr">
        <is>
          <t>Manel</t>
        </is>
      </c>
      <c r="J309" s="50" t="inlineStr">
        <is>
          <t>Mónica</t>
        </is>
      </c>
      <c r="K309" s="50" t="inlineStr">
        <is>
          <t>Error técnico</t>
        </is>
      </c>
      <c r="L309" s="50" t="e">
        <v>#REF!</v>
      </c>
      <c r="M309" s="54" t="inlineStr">
        <is>
          <t>Reposición al cliente</t>
        </is>
      </c>
      <c r="N309" s="50" t="inlineStr">
        <is>
          <t>Enviar al cliente (siempre que se pueda) el despiece para que lo apruebe</t>
        </is>
      </c>
      <c r="O309" s="47" t="inlineStr">
        <is>
          <t>Debido a un malentendido con la cliente, se enviaron todas las piezas con un diseño, el cual solo debían tenerlo algunas de las piezas</t>
        </is>
      </c>
      <c r="P309" s="98" t="n">
        <v>4480.63</v>
      </c>
      <c r="Q309" s="99" t="n"/>
      <c r="R309" s="99" t="n"/>
      <c r="S309" s="50" t="e">
        <v>#REF!</v>
      </c>
    </row>
    <row r="310" ht="30" customHeight="1">
      <c r="A310" s="55" t="inlineStr">
        <is>
          <t>CP312</t>
        </is>
      </c>
      <c r="B310" s="55" t="inlineStr">
        <is>
          <t>CERRADA</t>
        </is>
      </c>
      <c r="C310" s="58" t="n"/>
      <c r="D310" s="57" t="n">
        <v>826</v>
      </c>
      <c r="E310" s="105" t="n">
        <v>45678</v>
      </c>
      <c r="F310" s="57" t="n">
        <v>8150</v>
      </c>
      <c r="G310" s="55" t="inlineStr">
        <is>
          <t>826. 00. REP-FC 8150. 00. SERINAC 7451. 00. AA LOCAL SOCIAL POLIVALENT &amp; BAR</t>
        </is>
      </c>
      <c r="I310" s="55" t="inlineStr">
        <is>
          <t>-</t>
        </is>
      </c>
      <c r="J310" s="55" t="inlineStr">
        <is>
          <t>Emilio</t>
        </is>
      </c>
      <c r="K310" s="55" t="inlineStr">
        <is>
          <t>Falta Componentes fábrica</t>
        </is>
      </c>
      <c r="L310" s="55" t="e">
        <v>#REF!</v>
      </c>
      <c r="M310" s="59" t="inlineStr">
        <is>
          <t>Reposicion de unidades faltantes</t>
        </is>
      </c>
      <c r="N310" s="55" t="inlineStr">
        <is>
          <t>Recontar los anclajes que se envian</t>
        </is>
      </c>
      <c r="O310" s="46" t="inlineStr">
        <is>
          <t>Se envian 80 unidades de anclajes tipo B en lugar de 85. Trello y albaran correctos, hoja de pedido indica 84 uds</t>
        </is>
      </c>
      <c r="P310" s="101" t="n">
        <v>0</v>
      </c>
      <c r="Q310" s="102" t="n"/>
      <c r="R310" s="102" t="n"/>
      <c r="S310" s="55" t="e">
        <v>#REF!</v>
      </c>
    </row>
    <row r="311" ht="30" customHeight="1">
      <c r="A311" s="50" t="inlineStr">
        <is>
          <t>CP313</t>
        </is>
      </c>
      <c r="B311" s="50" t="inlineStr">
        <is>
          <t>CERRADA</t>
        </is>
      </c>
      <c r="C311" s="53" t="n"/>
      <c r="D311" s="52" t="n">
        <v>855</v>
      </c>
      <c r="E311" s="105" t="n">
        <v>45679</v>
      </c>
      <c r="F311" s="52" t="n">
        <v>115</v>
      </c>
      <c r="G311" s="50" t="inlineStr">
        <is>
          <t>855. 01. REP-FCT 115. 00. ESTUDIO AMARES ECOWALL MAD</t>
        </is>
      </c>
      <c r="H311" s="50" t="inlineStr">
        <is>
          <t xml:space="preserve">FELIX BERNAL </t>
        </is>
      </c>
      <c r="I311" s="50" t="inlineStr">
        <is>
          <t>MANEL 2</t>
        </is>
      </c>
      <c r="J311" s="50" t="inlineStr">
        <is>
          <t>Angela</t>
        </is>
      </c>
      <c r="K311" s="50" t="inlineStr">
        <is>
          <t>Falta Componentes técnico</t>
        </is>
      </c>
      <c r="L311" s="50" t="e">
        <v>#REF!</v>
      </c>
      <c r="M311" s="54" t="inlineStr">
        <is>
          <t>enviar 15 ud colas no enviadas</t>
        </is>
      </c>
      <c r="N311" s="50" t="inlineStr">
        <is>
          <t>revisar mejor el trello</t>
        </is>
      </c>
      <c r="O311" s="47" t="inlineStr">
        <is>
          <t>No se indicó en trello adhesivo</t>
        </is>
      </c>
      <c r="P311" s="98" t="n">
        <v>0</v>
      </c>
      <c r="Q311" s="99" t="n"/>
      <c r="R311" s="99" t="n"/>
      <c r="S311" s="50" t="e">
        <v>#REF!</v>
      </c>
    </row>
    <row r="312" ht="30" customHeight="1">
      <c r="A312" s="55" t="inlineStr">
        <is>
          <t>CP314</t>
        </is>
      </c>
      <c r="B312" s="55" t="inlineStr">
        <is>
          <t>CERRADA</t>
        </is>
      </c>
      <c r="C312" s="58" t="n">
        <v>45698</v>
      </c>
      <c r="D312" s="57" t="n">
        <v>1091</v>
      </c>
      <c r="E312" s="58" t="n">
        <v>45532</v>
      </c>
      <c r="F312" s="57" t="n">
        <v>4561</v>
      </c>
      <c r="G312" s="55" t="inlineStr">
        <is>
          <t>1091. 00. REP-ERT 4561.00 ISOLANA PEDIDO 736317 - MONTCADA CAT</t>
        </is>
      </c>
      <c r="H312" s="55" t="inlineStr">
        <is>
          <t>ISOLANA</t>
        </is>
      </c>
      <c r="I312" s="55" t="inlineStr">
        <is>
          <t>MANEL 2</t>
        </is>
      </c>
      <c r="J312" s="55" t="inlineStr">
        <is>
          <t>Angela</t>
        </is>
      </c>
      <c r="K312" s="55" t="inlineStr">
        <is>
          <t>Error CAD</t>
        </is>
      </c>
      <c r="L312" s="55" t="e">
        <v>#REF!</v>
      </c>
      <c r="M312" s="59" t="inlineStr">
        <is>
          <t>Reposición al cliente</t>
        </is>
      </c>
      <c r="N312" s="55" t="inlineStr">
        <is>
          <t>Revisar varias veces archivos de corte</t>
        </is>
      </c>
      <c r="O312" s="46" t="inlineStr">
        <is>
          <t xml:space="preserve">INCIDENCIA, UNA PARTE  TECNICA ( 1534 €) paneles dobles hechos con 1 cm + de lo que se debería. </t>
        </is>
      </c>
      <c r="P312" s="101" t="n">
        <v>1534</v>
      </c>
      <c r="Q312" s="102" t="n"/>
      <c r="R312" s="102" t="n"/>
      <c r="S312" s="55" t="e">
        <v>#REF!</v>
      </c>
    </row>
    <row r="313" ht="30" customHeight="1">
      <c r="A313" s="50" t="inlineStr">
        <is>
          <t>CP315</t>
        </is>
      </c>
      <c r="B313" s="50" t="inlineStr">
        <is>
          <t>CERRADA</t>
        </is>
      </c>
      <c r="C313" s="53" t="n">
        <v>45698</v>
      </c>
      <c r="D313" s="52" t="n">
        <v>1091</v>
      </c>
      <c r="E313" s="53" t="n">
        <v>45532</v>
      </c>
      <c r="F313" s="52" t="n">
        <v>4561</v>
      </c>
      <c r="G313" s="50" t="inlineStr">
        <is>
          <t>1091. 00. REP-TC 4561.00 ISOLANA PEDIDO 736317 - MONTCADA CAT</t>
        </is>
      </c>
      <c r="H313" s="50" t="inlineStr">
        <is>
          <t>ISOLANA</t>
        </is>
      </c>
      <c r="I313" s="50" t="inlineStr">
        <is>
          <t>MANEL 2</t>
        </is>
      </c>
      <c r="J313" s="50" t="inlineStr">
        <is>
          <t>Angela</t>
        </is>
      </c>
      <c r="K313" s="50" t="inlineStr">
        <is>
          <t>Defecto por comercial</t>
        </is>
      </c>
      <c r="L313" s="50" t="e">
        <v>#REF!</v>
      </c>
      <c r="M313" s="54" t="inlineStr">
        <is>
          <t>Reposición al cliente</t>
        </is>
      </c>
      <c r="N313" s="50" t="inlineStr">
        <is>
          <t>1177. 00. REP-DC 7669+L314:M314. ADEYAKA SOFTENG 2ª PARTE CAT</t>
        </is>
      </c>
      <c r="O313" s="47" t="inlineStr">
        <is>
          <t xml:space="preserve">UNA PARTE COMERCIAL ( 811,20) paneles lisos hechos 4 cm menos de lo que se debería. </t>
        </is>
      </c>
      <c r="P313" s="98" t="n">
        <v>811.2</v>
      </c>
      <c r="Q313" s="99" t="n"/>
      <c r="R313" s="99" t="n"/>
      <c r="S313" s="50" t="e">
        <v>#REF!</v>
      </c>
    </row>
    <row r="314" ht="30" customHeight="1">
      <c r="A314" s="55" t="inlineStr">
        <is>
          <t>CP316</t>
        </is>
      </c>
      <c r="B314" s="55" t="inlineStr">
        <is>
          <t>CERRADA</t>
        </is>
      </c>
      <c r="C314" s="56" t="n">
        <v>45700</v>
      </c>
      <c r="D314" s="57" t="n">
        <v>1177</v>
      </c>
      <c r="E314" s="105" t="n">
        <v>45687</v>
      </c>
      <c r="F314" s="57" t="n">
        <v>7669</v>
      </c>
      <c r="G314" s="55" t="inlineStr">
        <is>
          <t>1177. 00. REP-DC ADEYAKA SOFTENG 2ª PARTE CAT</t>
        </is>
      </c>
      <c r="H314" s="55" t="inlineStr">
        <is>
          <t>ADEYAKA</t>
        </is>
      </c>
      <c r="I314" s="55" t="inlineStr">
        <is>
          <t>MANEL 4</t>
        </is>
      </c>
      <c r="J314" s="55" t="inlineStr">
        <is>
          <t>Mónica</t>
        </is>
      </c>
      <c r="K314" s="55" t="inlineStr">
        <is>
          <t>Defecto por cliente</t>
        </is>
      </c>
      <c r="L314" s="55" t="e">
        <v>#REF!</v>
      </c>
      <c r="M314" s="59" t="inlineStr">
        <is>
          <t>Nuevo pedido cliente</t>
        </is>
      </c>
      <c r="N314" s="55" t="inlineStr">
        <is>
          <t>Ver con el cliente de qué forma quieren instalar los paneles</t>
        </is>
      </c>
      <c r="O314" s="46" t="inlineStr">
        <is>
          <t>El cliente solicitó unas medidas incorrectas para el tipo de instalación que querían poner. Además, de esos paneles, 4 vinieron defectuosos</t>
        </is>
      </c>
      <c r="P314" s="101" t="n">
        <v>3261.05</v>
      </c>
      <c r="Q314" s="102" t="n"/>
      <c r="R314" s="102" t="n"/>
      <c r="S314" s="55" t="e">
        <v>#REF!</v>
      </c>
    </row>
    <row r="315" ht="60" customHeight="1">
      <c r="A315" s="50" t="inlineStr">
        <is>
          <t>CP317</t>
        </is>
      </c>
      <c r="B315" s="50" t="inlineStr">
        <is>
          <t>CERRADA</t>
        </is>
      </c>
      <c r="C315" s="51" t="n">
        <v>45701</v>
      </c>
      <c r="D315" s="52" t="n">
        <v>961</v>
      </c>
      <c r="E315" s="53" t="n">
        <v>45643</v>
      </c>
      <c r="F315" s="52" t="n">
        <v>3560</v>
      </c>
      <c r="G315" s="50" t="inlineStr">
        <is>
          <t>961. 00. REP-TF 3560 LES PAPILLONS BLANCS_RESO IDF_INT_FR</t>
        </is>
      </c>
      <c r="H315" s="50" t="inlineStr">
        <is>
          <t>RESO IDF</t>
        </is>
      </c>
      <c r="I315" s="50" t="inlineStr">
        <is>
          <t>Sylvain</t>
        </is>
      </c>
      <c r="J315" s="50" t="inlineStr">
        <is>
          <t>Rashli</t>
        </is>
      </c>
      <c r="K315" s="50" t="inlineStr">
        <is>
          <t>2 Errores TF</t>
        </is>
      </c>
      <c r="L315" s="50" t="e">
        <v>#REF!</v>
      </c>
      <c r="M315" s="54" t="inlineStr">
        <is>
          <t>Reposición al cliente de lo que falta y lo que llegó mal y recogida de paneles incorrectos</t>
        </is>
      </c>
      <c r="N315" s="50" t="inlineStr">
        <is>
          <t>Trabjar con códigos cuando pidamos los colores, usar el mismo lote para un pedido, cuadrar la composición después de hacer el corte y contar bien las piezas del paquete.</t>
        </is>
      </c>
      <c r="O315" s="47" t="inlineStr">
        <is>
          <t>El cliente solictó los econordiks rosa como las muestras y por cofusión entendimos coral pink cuando quería terracota. Además, el diseño VCUT no cuadra en continuidad. Por último, faltan supuestamente piezas de technical ceiling que no sabemos donde está el fallo.</t>
        </is>
      </c>
      <c r="P315" s="98" t="n">
        <v>4125</v>
      </c>
      <c r="Q315" s="99" t="n"/>
      <c r="R315" s="99" t="n"/>
      <c r="S315" s="50" t="e">
        <v>#REF!</v>
      </c>
    </row>
    <row r="316" ht="45" customHeight="1">
      <c r="A316" s="55" t="inlineStr">
        <is>
          <t>CP318</t>
        </is>
      </c>
      <c r="B316" s="55" t="inlineStr">
        <is>
          <t>CERRADA</t>
        </is>
      </c>
      <c r="C316" s="56" t="n">
        <v>45701</v>
      </c>
      <c r="D316" s="57" t="n">
        <v>1255</v>
      </c>
      <c r="E316" s="105" t="n">
        <v>45686</v>
      </c>
      <c r="F316" s="57" t="n">
        <v>295</v>
      </c>
      <c r="G316" s="55" t="inlineStr">
        <is>
          <t>1255. 01. REP-ERT 295 CD7194_MORNAS_EPOXIA_ECOBASIC_INTER_FR</t>
        </is>
      </c>
      <c r="H316" s="55" t="inlineStr">
        <is>
          <t>EPOXIA</t>
        </is>
      </c>
      <c r="I316" s="55" t="inlineStr">
        <is>
          <t>Sylvain</t>
        </is>
      </c>
      <c r="J316" s="55" t="inlineStr">
        <is>
          <t>Rashli</t>
        </is>
      </c>
      <c r="K316" s="55" t="inlineStr">
        <is>
          <t>Error Trello técnico</t>
        </is>
      </c>
      <c r="L316" s="55" t="e">
        <v>#REF!</v>
      </c>
      <c r="M316" s="59" t="inlineStr">
        <is>
          <t>Reposición al cliente de un panel RAW</t>
        </is>
      </c>
      <c r="N316" s="55" t="inlineStr">
        <is>
          <t>No modificar ningún pedido después de confirmado</t>
        </is>
      </c>
      <c r="O316" s="46" t="inlineStr">
        <is>
          <t>El cliente pidió un color de panel, y mucho tiempo después de mandar la CONF se dio cuenta de que lo pidió mal, se hicieron todos los cambios pertinenes, ya que el pedido no estaba fabricado todavía, pero en trello se dejó el color anterior</t>
        </is>
      </c>
      <c r="P316" s="101" t="n">
        <v>270</v>
      </c>
      <c r="Q316" s="102" t="n"/>
      <c r="R316" s="102" t="n"/>
      <c r="S316" s="55" t="e">
        <v>#REF!</v>
      </c>
    </row>
    <row r="317" ht="60" customHeight="1">
      <c r="A317" s="50" t="inlineStr">
        <is>
          <t>CP319</t>
        </is>
      </c>
      <c r="B317" s="50" t="inlineStr">
        <is>
          <t>CERRADA</t>
        </is>
      </c>
      <c r="C317" s="51" t="n">
        <v>45702</v>
      </c>
      <c r="D317" s="52" t="n">
        <v>1224</v>
      </c>
      <c r="E317" s="105" t="n">
        <v>45693</v>
      </c>
      <c r="F317" s="52" t="n">
        <v>7997</v>
      </c>
      <c r="G317" s="50" t="inlineStr">
        <is>
          <t>1224. 00. REP-ERT 7997. 00. GRUPO EFEBE WAMOS FASES 3 Y 4 CA</t>
        </is>
      </c>
      <c r="H317" s="50" t="inlineStr">
        <is>
          <t>EFEBE</t>
        </is>
      </c>
      <c r="I317" s="50" t="inlineStr">
        <is>
          <t>Manel</t>
        </is>
      </c>
      <c r="J317" s="50" t="inlineStr">
        <is>
          <t>Emilio</t>
        </is>
      </c>
      <c r="K317" s="50" t="inlineStr">
        <is>
          <t>Error CAD</t>
        </is>
      </c>
      <c r="L317" s="50" t="e">
        <v>#REF!</v>
      </c>
      <c r="M317" s="54" t="inlineStr">
        <is>
          <t>Reposición de los paneles necesarios</t>
        </is>
      </c>
      <c r="N317" s="50" t="inlineStr">
        <is>
          <t>Revisión de planos y actualizaciones de medidas en los mails, NO SACAR MEDIDAS DE PLANOS, pedir supervisión del proyecto, solicitar a cliente que facilite las medidas de forma mas clara</t>
        </is>
      </c>
      <c r="O317" s="47" t="inlineStr">
        <is>
          <t>Realizo el archivo de corte en base a un plano, que posteriormente es actualizado en un nuevo mail que no reviso detenidamente. De todos modos, no debí sacar el corte de un plano y debí solicitarle al cliente las medidas de forma más clara.</t>
        </is>
      </c>
      <c r="P317" s="98" t="n">
        <v>3726</v>
      </c>
      <c r="Q317" s="99" t="n"/>
      <c r="R317" s="99" t="n"/>
      <c r="S317" s="50" t="e">
        <v>#REF!</v>
      </c>
    </row>
    <row r="318" ht="30" customHeight="1">
      <c r="A318" s="55" t="inlineStr">
        <is>
          <t>CP320</t>
        </is>
      </c>
      <c r="B318" s="55" t="inlineStr">
        <is>
          <t>CERRADA</t>
        </is>
      </c>
      <c r="C318" s="56" t="n">
        <v>45705</v>
      </c>
      <c r="D318" s="57" t="n">
        <v>1354</v>
      </c>
      <c r="E318" s="105" t="n">
        <v>45693</v>
      </c>
      <c r="F318" s="57" t="n">
        <v>244</v>
      </c>
      <c r="G318" s="55" t="inlineStr">
        <is>
          <t>1354. 00. REP-IT 244.00. SERVITEC RECTANGLE FOAM CAT</t>
        </is>
      </c>
      <c r="H318" s="55" t="inlineStr">
        <is>
          <t>SERVITEC</t>
        </is>
      </c>
      <c r="I318" s="55" t="inlineStr">
        <is>
          <t>Manel</t>
        </is>
      </c>
      <c r="J318" s="55" t="inlineStr">
        <is>
          <t>Angela</t>
        </is>
      </c>
      <c r="K318" s="55" t="inlineStr">
        <is>
          <t>Transporte</t>
        </is>
      </c>
      <c r="L318" s="55" t="e">
        <v>#REF!</v>
      </c>
      <c r="M318" s="59" t="inlineStr">
        <is>
          <t>Reposición de 2 ud de panel</t>
        </is>
      </c>
      <c r="N318" s="55" t="inlineStr">
        <is>
          <t>Asegurar la mercancía con mucha cautela</t>
        </is>
      </c>
      <c r="O318" s="46" t="inlineStr">
        <is>
          <t>han llegado 2 ud de 64 dañadas</t>
        </is>
      </c>
      <c r="P318" s="101" t="n">
        <v>75.45999999999999</v>
      </c>
      <c r="Q318" s="102" t="n"/>
      <c r="R318" s="102" t="n"/>
      <c r="S318" s="55" t="e">
        <v>#REF!</v>
      </c>
    </row>
    <row r="319" ht="30" customHeight="1">
      <c r="A319" s="50" t="inlineStr">
        <is>
          <t>CP321</t>
        </is>
      </c>
      <c r="B319" s="50" t="inlineStr">
        <is>
          <t>CERRADA</t>
        </is>
      </c>
      <c r="C319" s="51" t="n">
        <v>45706</v>
      </c>
      <c r="D319" s="52" t="n">
        <v>1359</v>
      </c>
      <c r="E319" s="105" t="n">
        <v>45698</v>
      </c>
      <c r="F319" s="52" t="n">
        <v>87</v>
      </c>
      <c r="G319" s="50" t="inlineStr">
        <is>
          <t>1359. 00. REP-CLI 87. 01. OFICREA HOTEL MARINADA PORTAVENTURA</t>
        </is>
      </c>
      <c r="H319" s="50" t="inlineStr">
        <is>
          <t>OFICREA</t>
        </is>
      </c>
      <c r="I319" s="50" t="inlineStr">
        <is>
          <t>Manel</t>
        </is>
      </c>
      <c r="J319" s="50" t="inlineStr">
        <is>
          <t>Mónica</t>
        </is>
      </c>
      <c r="K319" s="50" t="inlineStr">
        <is>
          <t>Defecto por cliente</t>
        </is>
      </c>
      <c r="L319" s="50" t="e">
        <v>#REF!</v>
      </c>
      <c r="M319" s="54" t="inlineStr">
        <is>
          <t>Enviar 3 imanes al cliente</t>
        </is>
      </c>
      <c r="N319" s="50" t="inlineStr">
        <is>
          <t>Asegurar que se envían el número de componentes correcto</t>
        </is>
      </c>
      <c r="O319" s="47" t="inlineStr">
        <is>
          <t>El cliente informa que le han faltado 3 imanes para los anclajes, confirmamos con producción que han enviado todos. Vamos a hacer detalle comercial al cliente enviándoselos.</t>
        </is>
      </c>
      <c r="P319" s="98" t="n">
        <v>14.77</v>
      </c>
      <c r="Q319" s="99" t="n"/>
      <c r="R319" s="99" t="n"/>
      <c r="S319" s="50" t="e">
        <v>#REF!</v>
      </c>
    </row>
    <row r="320" ht="60" customHeight="1">
      <c r="A320" s="55" t="inlineStr">
        <is>
          <t>CP322</t>
        </is>
      </c>
      <c r="B320" s="55" t="inlineStr">
        <is>
          <t>CERRADA</t>
        </is>
      </c>
      <c r="C320" s="56" t="n">
        <v>45714</v>
      </c>
      <c r="D320" s="57" t="n">
        <v>1588</v>
      </c>
      <c r="E320" s="105" t="n">
        <v>45705</v>
      </c>
      <c r="F320" s="57" t="n">
        <v>371</v>
      </c>
      <c r="G320" s="55" t="inlineStr">
        <is>
          <t>1588. 00. REP-INST 371. 01. INSITU UTOPICUS TRAVESSERA PLANT</t>
        </is>
      </c>
      <c r="H320" s="55" t="inlineStr">
        <is>
          <t>INSITU</t>
        </is>
      </c>
      <c r="I320" s="55" t="inlineStr">
        <is>
          <t>Manel</t>
        </is>
      </c>
      <c r="J320" s="55" t="inlineStr">
        <is>
          <t>Mónica</t>
        </is>
      </c>
      <c r="K320" s="55" t="inlineStr">
        <is>
          <t>Error en la instalación</t>
        </is>
      </c>
      <c r="L320" s="55" t="e">
        <v>#REF!</v>
      </c>
      <c r="M320" s="59" t="inlineStr">
        <is>
          <t>Reposición de un panel biselado</t>
        </is>
      </c>
      <c r="N320" s="55" t="inlineStr">
        <is>
          <t>Enviar con el bulto varias copias de los despieces para los instaladores. Recomendar a los instaladores que no corten antes de replantear los paneles en la pared.</t>
        </is>
      </c>
      <c r="O320" s="46" t="inlineStr">
        <is>
          <t>Los instaladores cortaron el hueco del enchufe de un panel que no correspondía a esa pared</t>
        </is>
      </c>
      <c r="P320" s="101" t="n">
        <v>232.32</v>
      </c>
      <c r="Q320" s="102" t="n"/>
      <c r="R320" s="102" t="n"/>
      <c r="S320" s="55" t="e">
        <v>#REF!</v>
      </c>
    </row>
    <row r="321" ht="75" customHeight="1">
      <c r="A321" s="50" t="inlineStr">
        <is>
          <t>CP323</t>
        </is>
      </c>
      <c r="B321" s="50" t="inlineStr">
        <is>
          <t>CERRADA</t>
        </is>
      </c>
      <c r="C321" s="51" t="n">
        <v>45715</v>
      </c>
      <c r="D321" s="52" t="n">
        <v>1627</v>
      </c>
      <c r="E321" s="105" t="n">
        <v>45660</v>
      </c>
      <c r="F321" s="52" t="n">
        <v>6738</v>
      </c>
      <c r="G321" s="50" t="inlineStr">
        <is>
          <t>1627. 00. REP-RECLI 6738 AMP YUU ARQUITECTURA RESTAURANTE CV</t>
        </is>
      </c>
      <c r="H321" s="50" t="inlineStr">
        <is>
          <t>YUU ARQUITECTURA</t>
        </is>
      </c>
      <c r="I321" s="50" t="inlineStr">
        <is>
          <t>Jorge Fernandez</t>
        </is>
      </c>
      <c r="J321" s="50" t="inlineStr">
        <is>
          <t>Rashli</t>
        </is>
      </c>
      <c r="K321" s="50" t="inlineStr">
        <is>
          <t>Rechazo CLIENTE</t>
        </is>
      </c>
      <c r="L321" s="50" t="e">
        <v>#REF!</v>
      </c>
      <c r="M321" s="54" t="inlineStr">
        <is>
          <t>Revisar los colores de pintura por si tienen equivalencia con nuestro colores base y pedir más información sobre la instalación</t>
        </is>
      </c>
      <c r="N321" s="50" t="inlineStr">
        <is>
          <t>Reponer los paneles en gris perla y recoger los paneles que ya hay. Detalle comerecial.</t>
        </is>
      </c>
      <c r="O321" s="47" t="inlineStr">
        <is>
          <t>Primero se habían pedido unos paneles blancos y al llegar se dieron cuenta de que los pidideron mal, se hace un segundo pedido de panel pintado en gris al 60% y ahora al instalarlos hay problemas porque el techo tiene pequeñas bóvedas. Como ya había material puesto de hace mucho tiempo, se le pidió el color al cliente y nos dijo un NCS, por eso se pintaron, pero ahora el instalador (que ha trabajdo mucho con nosotros) nos comenta que es gris perla base.</t>
        </is>
      </c>
      <c r="P321" s="98" t="n">
        <v>696.96</v>
      </c>
      <c r="Q321" s="99" t="n"/>
      <c r="R321" s="99" t="n"/>
      <c r="S321" s="50" t="e">
        <v>#REF!</v>
      </c>
    </row>
    <row r="322" ht="30" customHeight="1">
      <c r="A322" s="55" t="inlineStr">
        <is>
          <t>CP324</t>
        </is>
      </c>
      <c r="B322" s="55" t="inlineStr">
        <is>
          <t>CERRADA</t>
        </is>
      </c>
      <c r="C322" s="56" t="n">
        <v>45715</v>
      </c>
      <c r="D322" s="57" t="n">
        <v>1890</v>
      </c>
      <c r="E322" s="105" t="n">
        <v>45685</v>
      </c>
      <c r="F322" s="57" t="n">
        <v>1890</v>
      </c>
      <c r="G322" s="55" t="inlineStr">
        <is>
          <t>OC25  251000246 -1634. 00. REP-FCF. 1890. 01. CTO 008436 CENTRO REFERENCIA MA</t>
        </is>
      </c>
      <c r="H322" s="55" t="inlineStr">
        <is>
          <t>CTO .S.A</t>
        </is>
      </c>
      <c r="I322" s="55" t="inlineStr">
        <is>
          <t>Ricardo</t>
        </is>
      </c>
      <c r="J322" s="55" t="inlineStr">
        <is>
          <t>Angela</t>
        </is>
      </c>
      <c r="K322" s="55" t="inlineStr">
        <is>
          <t>Falta Componentes fábrica</t>
        </is>
      </c>
      <c r="L322" s="55" t="e">
        <v>#REF!</v>
      </c>
      <c r="M322" s="59" t="inlineStr">
        <is>
          <t xml:space="preserve">Contabilizar dos veces </t>
        </is>
      </c>
      <c r="N322" s="55" t="inlineStr">
        <is>
          <t>Reponer anclajes</t>
        </is>
      </c>
      <c r="O322" s="46" t="inlineStr">
        <is>
          <t>El cliente indica que faltan 24 anclajes. No hay manera de demostrarlo 100 % porque según hoja de fábrica han salido</t>
        </is>
      </c>
      <c r="P322" s="101" t="n">
        <v>0</v>
      </c>
      <c r="Q322" s="102" t="n"/>
      <c r="R322" s="102" t="n"/>
      <c r="S322" s="55" t="e">
        <v>#REF!</v>
      </c>
    </row>
    <row r="323" ht="30" customHeight="1">
      <c r="A323" s="50" t="inlineStr">
        <is>
          <t>CP325</t>
        </is>
      </c>
      <c r="B323" s="50" t="inlineStr">
        <is>
          <t>CERRADA</t>
        </is>
      </c>
      <c r="C323" s="51" t="n">
        <v>45716</v>
      </c>
      <c r="D323" s="52" t="n">
        <v>7557</v>
      </c>
      <c r="E323" s="105" t="n">
        <v>45706</v>
      </c>
      <c r="F323" s="52" t="n">
        <v>7557</v>
      </c>
      <c r="G323" s="50" t="inlineStr">
        <is>
          <t>OC25-251000350 REP-COM 7557 OPTIMIZA CENTER XXI V-CUT MAD</t>
        </is>
      </c>
      <c r="H323" s="50" t="inlineStr">
        <is>
          <t>OPTIMIZA CENTER</t>
        </is>
      </c>
      <c r="I323" s="50" t="inlineStr">
        <is>
          <t>Ricardo</t>
        </is>
      </c>
      <c r="J323" s="50" t="inlineStr">
        <is>
          <t>Belén</t>
        </is>
      </c>
      <c r="K323" s="50" t="inlineStr">
        <is>
          <t>Defecto por comercial</t>
        </is>
      </c>
      <c r="L323" s="50" t="e">
        <v>#REF!</v>
      </c>
      <c r="M323" s="54" t="inlineStr">
        <is>
          <t>Que si los comerciales miden den centímetros de margen</t>
        </is>
      </c>
      <c r="N323" s="50" t="inlineStr">
        <is>
          <t>Reponer los paneles que se han qeudado cortos</t>
        </is>
      </c>
      <c r="O323" s="47" t="inlineStr">
        <is>
          <t>Se tomaron mal las medidas y falta material</t>
        </is>
      </c>
      <c r="P323" s="98" t="n">
        <v>665.02</v>
      </c>
      <c r="Q323" s="99" t="n"/>
      <c r="R323" s="99" t="n"/>
      <c r="S323" s="50" t="e">
        <v>#REF!</v>
      </c>
    </row>
    <row r="324" ht="30" customHeight="1">
      <c r="A324" s="55" t="inlineStr">
        <is>
          <t>CP326</t>
        </is>
      </c>
      <c r="B324" s="55" t="inlineStr">
        <is>
          <t>CERRADA</t>
        </is>
      </c>
      <c r="C324" s="56" t="n">
        <v>45720</v>
      </c>
      <c r="D324" s="57" t="n">
        <v>1693</v>
      </c>
      <c r="E324" s="58" t="n">
        <v>45652</v>
      </c>
      <c r="F324" s="57" t="n">
        <v>6938</v>
      </c>
      <c r="G324" s="55" t="inlineStr">
        <is>
          <t>OC25-251000265 - 1693. 00. REP-IT 6938 ETUDE DAVID_PBA_CODE_FR</t>
        </is>
      </c>
      <c r="H324" s="55" t="inlineStr">
        <is>
          <t>PBA</t>
        </is>
      </c>
      <c r="I324" s="55" t="inlineStr">
        <is>
          <t>Sylvain</t>
        </is>
      </c>
      <c r="J324" s="55" t="inlineStr">
        <is>
          <t>Rashli</t>
        </is>
      </c>
      <c r="K324" s="55" t="inlineStr">
        <is>
          <t>Transporte</t>
        </is>
      </c>
      <c r="L324" s="55" t="e">
        <v>#REF!</v>
      </c>
      <c r="M324" s="59" t="inlineStr">
        <is>
          <t>Mejorar la protección de las esquinas</t>
        </is>
      </c>
      <c r="N324" s="55" t="inlineStr">
        <is>
          <t>Reponer paneles dañados</t>
        </is>
      </c>
      <c r="O324" s="46" t="inlineStr">
        <is>
          <t>Hay CODE dañados e inutilizables por daños que sufrió el paquete durante el transporte.</t>
        </is>
      </c>
      <c r="P324" s="101" t="n">
        <v>2561.33</v>
      </c>
      <c r="Q324" s="102" t="n"/>
      <c r="R324" s="102" t="n"/>
      <c r="S324" s="55" t="e">
        <v>#REF!</v>
      </c>
    </row>
    <row r="325" ht="45" customHeight="1">
      <c r="A325" s="50" t="inlineStr">
        <is>
          <t>CP327</t>
        </is>
      </c>
      <c r="B325" s="50" t="inlineStr">
        <is>
          <t>CERRADA</t>
        </is>
      </c>
      <c r="C325" s="51" t="n">
        <v>45729</v>
      </c>
      <c r="D325" s="52" t="n">
        <v>314</v>
      </c>
      <c r="E325" s="105" t="n">
        <v>45719</v>
      </c>
      <c r="F325" s="52" t="inlineStr">
        <is>
          <t>OC25-251000512</t>
        </is>
      </c>
      <c r="G325" s="50" t="inlineStr">
        <is>
          <t>OC25-251000512-REP-TCL. 314. 00. IMPALA POMBO VINCCI CENTRUM TECHO PASILLOS MAD</t>
        </is>
      </c>
      <c r="H325" s="50" t="inlineStr">
        <is>
          <t>IMPALA</t>
        </is>
      </c>
      <c r="I325" s="50" t="inlineStr">
        <is>
          <t xml:space="preserve">Jorge Bellido. </t>
        </is>
      </c>
      <c r="J325" s="50" t="inlineStr">
        <is>
          <t>Angela</t>
        </is>
      </c>
      <c r="K325" s="50" t="inlineStr">
        <is>
          <t>2 Errores TCL</t>
        </is>
      </c>
      <c r="L325" s="50" t="e">
        <v>#REF!</v>
      </c>
      <c r="M325" s="54" t="inlineStr">
        <is>
          <t>Realizar el cálculo de paneles con más calma</t>
        </is>
      </c>
      <c r="N325" s="50" t="inlineStr">
        <is>
          <t>Suministrar paneles faltantes</t>
        </is>
      </c>
      <c r="O325" s="47" t="inlineStr">
        <is>
          <t>Se envían menos tiras de las necesarias porque no se realizó bien el cálculo.</t>
        </is>
      </c>
      <c r="P325" s="98" t="n">
        <v>540</v>
      </c>
      <c r="Q325" s="99" t="n"/>
      <c r="R325" s="99" t="n"/>
      <c r="S325" s="50" t="e">
        <v>#REF!</v>
      </c>
    </row>
    <row r="326" ht="30" customHeight="1">
      <c r="A326" s="55" t="inlineStr">
        <is>
          <t>CP328</t>
        </is>
      </c>
      <c r="B326" s="55" t="inlineStr">
        <is>
          <t>CERRADA</t>
        </is>
      </c>
      <c r="C326" s="56" t="n">
        <v>45733</v>
      </c>
      <c r="D326" s="57" t="inlineStr">
        <is>
          <t>OC25-251000612</t>
        </is>
      </c>
      <c r="E326" s="58" t="n">
        <v>45728</v>
      </c>
      <c r="F326" s="57" t="n">
        <v>1594</v>
      </c>
      <c r="G326" s="55" t="inlineStr">
        <is>
          <t>REP-ERT 1594. 00. RDACUSTICA GAMA ECO CAT</t>
        </is>
      </c>
      <c r="H326" s="55" t="inlineStr">
        <is>
          <t>LLUIS DOMINGUEZ RULL</t>
        </is>
      </c>
      <c r="I326" s="55" t="inlineStr">
        <is>
          <t>Manel</t>
        </is>
      </c>
      <c r="J326" s="55" t="inlineStr">
        <is>
          <t>Mónica</t>
        </is>
      </c>
      <c r="K326" s="55" t="inlineStr">
        <is>
          <t>Error Trello técnico</t>
        </is>
      </c>
      <c r="L326" s="55" t="e">
        <v>#REF!</v>
      </c>
      <c r="M326" s="59" t="inlineStr">
        <is>
          <t>Enviar varias piezas, retales e imanes</t>
        </is>
      </c>
      <c r="N326" s="55" t="inlineStr">
        <is>
          <t>Indicar en Trello que el cliente necesita el sobrante del panel</t>
        </is>
      </c>
      <c r="O326" s="46" t="inlineStr">
        <is>
          <t>El cliente pidió los recortes sobrantes de los paneles y se van a enviar nuevas piezas y retales. No se anotó en trello y el nº de imanes era incorrecto</t>
        </is>
      </c>
      <c r="P326" s="101" t="n">
        <v>671.55</v>
      </c>
      <c r="Q326" s="102" t="n"/>
      <c r="R326" s="102" t="n"/>
      <c r="S326" s="55" t="e">
        <v>#REF!</v>
      </c>
    </row>
    <row r="327" ht="30" customHeight="1">
      <c r="A327" s="50" t="inlineStr">
        <is>
          <t>CP329</t>
        </is>
      </c>
      <c r="B327" s="50" t="inlineStr">
        <is>
          <t>CERRADA</t>
        </is>
      </c>
      <c r="C327" s="51" t="n">
        <v>45734</v>
      </c>
      <c r="D327" s="52" t="inlineStr">
        <is>
          <t>OC25-251000670</t>
        </is>
      </c>
      <c r="E327" s="53" t="n">
        <v>45715</v>
      </c>
      <c r="F327" s="52" t="n">
        <v>175</v>
      </c>
      <c r="G327" s="50" t="inlineStr">
        <is>
          <t>OC25-251000670 - REP-CO. 175. 00. NOAL DEC LANALDE ALZOLA PV</t>
        </is>
      </c>
      <c r="H327" s="50" t="inlineStr">
        <is>
          <t>NOAL</t>
        </is>
      </c>
      <c r="I327" s="50" t="inlineStr">
        <is>
          <t>Jon Rioboo</t>
        </is>
      </c>
      <c r="J327" s="50" t="inlineStr">
        <is>
          <t>Rashli</t>
        </is>
      </c>
      <c r="K327" s="50" t="inlineStr">
        <is>
          <t>Falta Componentes fábrica</t>
        </is>
      </c>
      <c r="L327" s="50" t="e">
        <v>#REF!</v>
      </c>
      <c r="M327" s="54" t="inlineStr">
        <is>
          <t>enviar los anclajes</t>
        </is>
      </c>
      <c r="N327" s="50" t="n"/>
      <c r="O327" s="47" t="inlineStr">
        <is>
          <t>No se enviaron los anclajes</t>
        </is>
      </c>
      <c r="P327" s="98" t="n">
        <v>0</v>
      </c>
      <c r="Q327" s="99" t="n"/>
      <c r="R327" s="99" t="n"/>
      <c r="S327" s="50" t="e">
        <v>#REF!</v>
      </c>
    </row>
    <row r="328">
      <c r="A328" s="107" t="inlineStr">
        <is>
          <t>CP330</t>
        </is>
      </c>
      <c r="B328" s="55" t="inlineStr">
        <is>
          <t>CERRADA</t>
        </is>
      </c>
      <c r="C328" s="108" t="n">
        <v>45735</v>
      </c>
      <c r="D328" s="109" t="inlineStr">
        <is>
          <t>OC25-251000708</t>
        </is>
      </c>
      <c r="E328" s="110" t="n">
        <v>45716</v>
      </c>
      <c r="F328" s="109" t="n">
        <v>1155</v>
      </c>
      <c r="G328" s="107" t="inlineStr">
        <is>
          <t>SE ANULA, ES PEDIDO, NO INCIDENCIA</t>
        </is>
      </c>
      <c r="H328" s="107" t="inlineStr">
        <is>
          <t>COMERCIAL DE INTERIORISMO VILLANOVA SL</t>
        </is>
      </c>
      <c r="I328" s="107" t="n"/>
      <c r="J328" s="107" t="n"/>
      <c r="K328" s="107" t="n"/>
      <c r="L328" s="107" t="n"/>
      <c r="M328" s="111" t="n"/>
      <c r="N328" s="107" t="n"/>
      <c r="O328" s="112" t="n"/>
      <c r="P328" s="113" t="n"/>
      <c r="Q328" s="114" t="n"/>
      <c r="R328" s="114" t="n"/>
      <c r="S328" s="107" t="e">
        <v>#REF!</v>
      </c>
    </row>
    <row r="329" ht="45" customHeight="1">
      <c r="A329" s="50" t="inlineStr">
        <is>
          <t>CP331</t>
        </is>
      </c>
      <c r="B329" s="50" t="inlineStr">
        <is>
          <t>CERRADA</t>
        </is>
      </c>
      <c r="C329" s="51" t="n">
        <v>45736</v>
      </c>
      <c r="D329" s="52" t="inlineStr">
        <is>
          <t>OC25-251000739</t>
        </is>
      </c>
      <c r="E329" s="53" t="n">
        <v>45727</v>
      </c>
      <c r="F329" s="52" t="n">
        <v>1059</v>
      </c>
      <c r="G329" s="50" t="inlineStr">
        <is>
          <t>OC25-251000739 - REP-ERT. 1059. 02. AMPL OFICINA NEUROTH_GRAFENSTEIN_PRASENC _INTER_AT</t>
        </is>
      </c>
      <c r="H329" s="50" t="inlineStr">
        <is>
          <t>PRASENC</t>
        </is>
      </c>
      <c r="I329" s="50" t="inlineStr">
        <is>
          <t>Ivan</t>
        </is>
      </c>
      <c r="J329" s="50" t="inlineStr">
        <is>
          <t>Luis</t>
        </is>
      </c>
      <c r="K329" s="50" t="inlineStr">
        <is>
          <t>Error técnico</t>
        </is>
      </c>
      <c r="L329" s="50" t="e">
        <v>#REF!</v>
      </c>
      <c r="M329" s="54" t="inlineStr">
        <is>
          <t>Revisar documentacion enviada por el cliente</t>
        </is>
      </c>
      <c r="N329" s="50" t="inlineStr">
        <is>
          <t>Reponer piezas</t>
        </is>
      </c>
      <c r="O329" s="47" t="inlineStr">
        <is>
          <t>El cliente pidió las esquinas curvas y se dibujaron rectas</t>
        </is>
      </c>
      <c r="P329" s="98" t="n">
        <v>912</v>
      </c>
      <c r="Q329" s="99" t="n"/>
      <c r="R329" s="99" t="n"/>
      <c r="S329" s="50" t="e">
        <v>#REF!</v>
      </c>
    </row>
    <row r="330" ht="30" customHeight="1">
      <c r="A330" s="107" t="inlineStr">
        <is>
          <t>CP332</t>
        </is>
      </c>
      <c r="B330" s="55" t="inlineStr">
        <is>
          <t>CERRADA</t>
        </is>
      </c>
      <c r="C330" s="108" t="n">
        <v>45736</v>
      </c>
      <c r="D330" s="109" t="inlineStr">
        <is>
          <t>OC25-251000774</t>
        </is>
      </c>
      <c r="E330" s="115" t="n">
        <v>45728</v>
      </c>
      <c r="F330" s="109" t="n">
        <v>1507</v>
      </c>
      <c r="G330" s="107" t="inlineStr">
        <is>
          <t>OC25-251000774- REP-TTR-1507.02 HAUS CH52 AMP 7582 REMATES PANELELES CON LED MAD</t>
        </is>
      </c>
      <c r="H330" s="107" t="n"/>
      <c r="I330" s="107" t="inlineStr">
        <is>
          <t>Juanjo</t>
        </is>
      </c>
      <c r="J330" s="107" t="inlineStr">
        <is>
          <t>Angela</t>
        </is>
      </c>
      <c r="K330" s="107" t="inlineStr">
        <is>
          <t>Error técnico</t>
        </is>
      </c>
      <c r="L330" s="107" t="e">
        <v>#REF!</v>
      </c>
      <c r="M330" s="111" t="inlineStr">
        <is>
          <t>Poner todo en trello muy explicado NO SE REPONE FINALMENTE</t>
        </is>
      </c>
      <c r="N330" s="107" t="inlineStr">
        <is>
          <t>Reponer piezas</t>
        </is>
      </c>
      <c r="O330" s="112" t="inlineStr">
        <is>
          <t>Es ampliación de pedido, aunque lo puse en titulo no indiqué que si pusiera el mismo lote y cambia de tono. NO SE REPONE FINALMENTE</t>
        </is>
      </c>
      <c r="P330" s="113" t="n">
        <v>266</v>
      </c>
      <c r="Q330" s="114" t="n"/>
      <c r="R330" s="114" t="n"/>
      <c r="S330" s="107" t="e">
        <v>#REF!</v>
      </c>
    </row>
    <row r="331" ht="30" customHeight="1">
      <c r="A331" s="50" t="inlineStr">
        <is>
          <t>CP333</t>
        </is>
      </c>
      <c r="B331" s="50" t="inlineStr">
        <is>
          <t>CERRADA</t>
        </is>
      </c>
      <c r="C331" s="51" t="n">
        <v>45737</v>
      </c>
      <c r="D331" s="52" t="inlineStr">
        <is>
          <t>OC25-251000818</t>
        </is>
      </c>
      <c r="E331" s="53" t="n">
        <v>45705</v>
      </c>
      <c r="F331" s="52" t="n">
        <v>7405</v>
      </c>
      <c r="G331" s="50" t="inlineStr">
        <is>
          <t>OC25-251000818 - REP-ERF. 7405. 04. AMPL PRISM_BERHIN_INTER_BE</t>
        </is>
      </c>
      <c r="H331" s="50" t="inlineStr">
        <is>
          <t>BERHIN</t>
        </is>
      </c>
      <c r="I331" s="50" t="inlineStr">
        <is>
          <t>Daniel</t>
        </is>
      </c>
      <c r="J331" s="50" t="inlineStr">
        <is>
          <t>Luis</t>
        </is>
      </c>
      <c r="K331" s="50" t="inlineStr">
        <is>
          <t>Fabricación</t>
        </is>
      </c>
      <c r="L331" s="50" t="e">
        <v>#REF!</v>
      </c>
      <c r="M331" s="54" t="inlineStr">
        <is>
          <t>Reforzar calidad</t>
        </is>
      </c>
      <c r="N331" s="50" t="inlineStr">
        <is>
          <t>Reponer 4 ud paneles pegados</t>
        </is>
      </c>
      <c r="O331" s="47" t="inlineStr">
        <is>
          <t>Se han enviado paneles volume sin pegar</t>
        </is>
      </c>
      <c r="P331" s="98" t="n">
        <v>1764</v>
      </c>
      <c r="Q331" s="99" t="n"/>
      <c r="R331" s="99" t="n"/>
      <c r="S331" s="50" t="e">
        <v>#REF!</v>
      </c>
    </row>
    <row r="332" ht="105" customHeight="1">
      <c r="A332" s="55" t="inlineStr">
        <is>
          <t>CP334</t>
        </is>
      </c>
      <c r="B332" s="55" t="inlineStr">
        <is>
          <t>CERRADA</t>
        </is>
      </c>
      <c r="C332" s="56" t="n">
        <v>45737</v>
      </c>
      <c r="D332" s="57" t="inlineStr">
        <is>
          <t>OC25-251000831</t>
        </is>
      </c>
      <c r="E332" s="58" t="n">
        <v>45720</v>
      </c>
      <c r="F332" s="57" t="n">
        <v>1328</v>
      </c>
      <c r="G332" s="55" t="inlineStr">
        <is>
          <t>OC25-251000831 - REP-COM 1328. 00. MUESTRA CANARYEQUIP CIUDAD JUSTICIA QUITE PGC</t>
        </is>
      </c>
      <c r="H332" s="55" t="inlineStr">
        <is>
          <t>CANARYEQUIP</t>
        </is>
      </c>
      <c r="I332" s="55" t="inlineStr">
        <is>
          <t>Iker</t>
        </is>
      </c>
      <c r="J332" s="55" t="inlineStr">
        <is>
          <t>Rashli</t>
        </is>
      </c>
      <c r="K332" s="55" t="inlineStr">
        <is>
          <t>Defecto por comercial</t>
        </is>
      </c>
      <c r="L332" s="55" t="e">
        <v>#REF!</v>
      </c>
      <c r="M332" s="59" t="inlineStr">
        <is>
          <t>Forzar a que los agentes lean los presupuestos para que estén al tanto de lo que se está vendiendo es lo qu ese pidió.</t>
        </is>
      </c>
      <c r="N332" s="55" t="inlineStr">
        <is>
          <t>Reponer los quiets bajos por altos.</t>
        </is>
      </c>
      <c r="O332" s="46" t="inlineStr">
        <is>
          <t>se hizo una petición por teléfono y se mando el presupuesto antes de poner el pedido para confirmar que era correcto, como no hubo correcciónal respecto se puso en marcha una muestra de lo que había en el presupuesto QUIET BAJO,  cuando mandamos la factura/proforma para que pudiesen sacar el pedido en MOSCA es cuando el comercial se da cuenta de que no habíamos puesto en marcha lo que el quería supuestamente, QUIETS ALTOS. No hay evidencia escrita ninguna. Iker no dejo claro como queria el QUIET, ni tampoco dijo nada al respecto segun el presupuesto enviado. Por lo que se interpreto que estaba OK.</t>
        </is>
      </c>
      <c r="P332" s="101" t="n">
        <v>814</v>
      </c>
      <c r="Q332" s="102" t="n"/>
      <c r="R332" s="102" t="n"/>
      <c r="S332" s="55" t="e">
        <v>#REF!</v>
      </c>
    </row>
    <row r="333" ht="30" customHeight="1">
      <c r="A333" s="50" t="inlineStr">
        <is>
          <t>CP335</t>
        </is>
      </c>
      <c r="B333" s="50" t="inlineStr">
        <is>
          <t>CERRADA</t>
        </is>
      </c>
      <c r="C333" s="51" t="n">
        <v>45740</v>
      </c>
      <c r="D333" s="52" t="inlineStr">
        <is>
          <t>OC25-251000873</t>
        </is>
      </c>
      <c r="E333" s="53" t="n">
        <v>45733</v>
      </c>
      <c r="F333" s="52" t="inlineStr">
        <is>
          <t>OC25-251000398</t>
        </is>
      </c>
      <c r="G333" s="50" t="inlineStr">
        <is>
          <t>OC25-251000873 - REP-COM OC25-251000398 - REVEPLUS PEDIDO 18 ANDO</t>
        </is>
      </c>
      <c r="H333" s="50" t="inlineStr">
        <is>
          <t>REVEPLUS</t>
        </is>
      </c>
      <c r="I333" s="50" t="inlineStr">
        <is>
          <t>Manel</t>
        </is>
      </c>
      <c r="J333" s="50" t="inlineStr">
        <is>
          <t>Mónica</t>
        </is>
      </c>
      <c r="K333" s="50" t="inlineStr">
        <is>
          <t>Defecto por comercial</t>
        </is>
      </c>
      <c r="L333" s="50" t="e">
        <v>#REF!</v>
      </c>
      <c r="M333" s="54" t="inlineStr">
        <is>
          <t>Reponer 3 paneles lisos e12mm ECO-125 según despiece</t>
        </is>
      </c>
      <c r="N333" s="50" t="inlineStr">
        <is>
          <t>Revisar las unidades de medida y confirmar con el cliente y el técnico.</t>
        </is>
      </c>
      <c r="O333" s="47" t="inlineStr">
        <is>
          <t>Comercial pasó un pedido con medidas 1300x100x12 mm cuando en realidad eran 1300x1000x12 mm. El cliente volcó el dato en su orden de compra y no corrigió la cifra. El técnico tampoco la cuestionó.</t>
        </is>
      </c>
      <c r="P333" s="98" t="n">
        <v>630</v>
      </c>
      <c r="Q333" s="99" t="n"/>
      <c r="R333" s="99" t="n"/>
      <c r="S333" s="50" t="e">
        <v>#REF!</v>
      </c>
    </row>
    <row r="334" ht="45" customHeight="1">
      <c r="A334" s="55" t="inlineStr">
        <is>
          <t>CP336</t>
        </is>
      </c>
      <c r="B334" s="55" t="inlineStr">
        <is>
          <t>CERRADA</t>
        </is>
      </c>
      <c r="C334" s="56" t="n">
        <v>45740</v>
      </c>
      <c r="D334" s="57" t="inlineStr">
        <is>
          <t>OC25-251000882</t>
        </is>
      </c>
      <c r="E334" s="58" t="n">
        <v>45734</v>
      </c>
      <c r="F334" s="57" t="n">
        <v>1406</v>
      </c>
      <c r="G334" s="55" t="inlineStr">
        <is>
          <t>OC25-251000882 - REP-ERF. 1406. 00. DR FINANÇAS PISO 7_EVIDENTPRIORITY_CODE_INTER_PT</t>
        </is>
      </c>
      <c r="H334" s="55" t="inlineStr">
        <is>
          <t>EVIDENTPRIORITY</t>
        </is>
      </c>
      <c r="I334" s="55" t="inlineStr">
        <is>
          <t>Paulo</t>
        </is>
      </c>
      <c r="J334" s="55" t="inlineStr">
        <is>
          <t>Luis</t>
        </is>
      </c>
      <c r="K334" s="55" t="inlineStr">
        <is>
          <t>Fabricación</t>
        </is>
      </c>
      <c r="L334" s="55" t="e">
        <v>#REF!</v>
      </c>
      <c r="M334" s="59" t="inlineStr">
        <is>
          <t>Revisar los pedidos antes de enviarlos</t>
        </is>
      </c>
      <c r="N334" s="55" t="inlineStr">
        <is>
          <t>Enviar las 6 ud box code en el color correcto</t>
        </is>
      </c>
      <c r="O334" s="46" t="inlineStr">
        <is>
          <t>Se enviaron las cajas de lux de CODE en un color incorrecto</t>
        </is>
      </c>
      <c r="P334" s="101" t="n">
        <v>300</v>
      </c>
      <c r="Q334" s="102" t="n"/>
      <c r="R334" s="102" t="n"/>
      <c r="S334" s="55" t="e">
        <v>#REF!</v>
      </c>
    </row>
    <row r="335" ht="30" customHeight="1">
      <c r="A335" s="116" t="inlineStr">
        <is>
          <t>CP337</t>
        </is>
      </c>
      <c r="B335" s="50" t="inlineStr">
        <is>
          <t>CERRADA</t>
        </is>
      </c>
      <c r="C335" s="117" t="n">
        <v>45741</v>
      </c>
      <c r="D335" s="118" t="inlineStr">
        <is>
          <t>OC25-251000895</t>
        </is>
      </c>
      <c r="E335" s="119" t="n">
        <v>45729</v>
      </c>
      <c r="F335" s="118" t="inlineStr">
        <is>
          <t>OC25-251000297</t>
        </is>
      </c>
      <c r="G335" s="116" t="inlineStr">
        <is>
          <t>OC25-251000895 - REP-IT OC25-251000297 - ARLEX RAW PANEL BCN</t>
        </is>
      </c>
      <c r="H335" s="116" t="inlineStr">
        <is>
          <t>ARLEX</t>
        </is>
      </c>
      <c r="I335" s="116" t="inlineStr">
        <is>
          <t>Manel</t>
        </is>
      </c>
      <c r="J335" s="116" t="inlineStr">
        <is>
          <t>Mónica</t>
        </is>
      </c>
      <c r="K335" s="116" t="inlineStr">
        <is>
          <t>Transporte</t>
        </is>
      </c>
      <c r="L335" s="116" t="e">
        <v>#REF!</v>
      </c>
      <c r="M335" s="120" t="inlineStr">
        <is>
          <t>Reponer un panel bruto e9mm ECO-123</t>
        </is>
      </c>
      <c r="N335" s="116" t="inlineStr">
        <is>
          <t>Revisar agencias en BCN</t>
        </is>
      </c>
      <c r="O335" s="121" t="inlineStr">
        <is>
          <t>Finalmente aprovechan los paneles y no se repone</t>
        </is>
      </c>
      <c r="P335" s="122" t="n">
        <v>0</v>
      </c>
      <c r="Q335" s="123" t="n"/>
      <c r="R335" s="123" t="n"/>
      <c r="S335" s="116" t="e">
        <v>#REF!</v>
      </c>
    </row>
    <row r="336" ht="30" customHeight="1">
      <c r="A336" s="55" t="inlineStr">
        <is>
          <t>CP338</t>
        </is>
      </c>
      <c r="B336" s="55" t="inlineStr">
        <is>
          <t>CERRADA</t>
        </is>
      </c>
      <c r="C336" s="56" t="n">
        <v>45741</v>
      </c>
      <c r="D336" s="57" t="inlineStr">
        <is>
          <t>OC25-251000941</t>
        </is>
      </c>
      <c r="E336" s="58" t="n">
        <v>45723</v>
      </c>
      <c r="F336" s="57" t="n">
        <v>559</v>
      </c>
      <c r="G336" s="55" t="inlineStr">
        <is>
          <t>OC25-251000941- REP-FCT- 559.00 MADERAS MEDINA ALPHA CONTRACT MAD</t>
        </is>
      </c>
      <c r="H336" s="55" t="inlineStr">
        <is>
          <t>MADERAS MEDINA</t>
        </is>
      </c>
      <c r="I336" s="55" t="inlineStr">
        <is>
          <t>Miguel Angel de andres</t>
        </is>
      </c>
      <c r="J336" s="55" t="inlineStr">
        <is>
          <t>Angela</t>
        </is>
      </c>
      <c r="K336" s="55" t="inlineStr">
        <is>
          <t>Falta Paneles Técnico</t>
        </is>
      </c>
      <c r="L336" s="55" t="e">
        <v>#REF!</v>
      </c>
      <c r="M336" s="59" t="inlineStr">
        <is>
          <t xml:space="preserve">Revisar bien el dxf </t>
        </is>
      </c>
      <c r="N336" s="55" t="inlineStr">
        <is>
          <t>Enviar piezas faltantes</t>
        </is>
      </c>
      <c r="O336" s="46" t="inlineStr">
        <is>
          <t>Es un pedido especial con muchas piezas y faltaron. Además había mal cortados.</t>
        </is>
      </c>
      <c r="P336" s="101" t="n">
        <v>510</v>
      </c>
      <c r="Q336" s="102" t="n"/>
      <c r="R336" s="102" t="n"/>
      <c r="S336" s="55" t="e">
        <v>#REF!</v>
      </c>
    </row>
    <row r="337" ht="30" customHeight="1">
      <c r="A337" s="50" t="inlineStr">
        <is>
          <t>CP339</t>
        </is>
      </c>
      <c r="B337" s="50" t="inlineStr">
        <is>
          <t>CERRADA</t>
        </is>
      </c>
      <c r="C337" s="51" t="n">
        <v>45741</v>
      </c>
      <c r="D337" s="52" t="inlineStr">
        <is>
          <t>OC25-251000948</t>
        </is>
      </c>
      <c r="E337" s="53" t="n">
        <v>45622</v>
      </c>
      <c r="F337" s="52" t="n">
        <v>6659</v>
      </c>
      <c r="G337" s="50" t="inlineStr">
        <is>
          <t>OC25-251000948 - REP-ERF. 6659. 00. GALERIE LOUVRE_CAPEXUS_ECOWALL EMOTION_CZ</t>
        </is>
      </c>
      <c r="H337" s="50" t="inlineStr">
        <is>
          <t>CAPEXUS</t>
        </is>
      </c>
      <c r="I337" s="50" t="inlineStr">
        <is>
          <t>Rafik</t>
        </is>
      </c>
      <c r="J337" s="50" t="inlineStr">
        <is>
          <t>Luis</t>
        </is>
      </c>
      <c r="K337" s="50" t="inlineStr">
        <is>
          <t>Fabricación</t>
        </is>
      </c>
      <c r="L337" s="50" t="e">
        <v>#REF!</v>
      </c>
      <c r="M337" s="54" t="inlineStr">
        <is>
          <t>Revisar los paneles antes de empaquetar</t>
        </is>
      </c>
      <c r="N337" s="50" t="inlineStr">
        <is>
          <t>Enviar paneles en el color correcto</t>
        </is>
      </c>
      <c r="O337" s="47" t="inlineStr">
        <is>
          <t>Se le envió en el pedido inicial (6659) los paneles de un color equivocado y ahora cuando hemos enviado la amplización con el color correcto hay comprobado que el inicial se había enviado mal</t>
        </is>
      </c>
      <c r="P337" s="98" t="n">
        <v>206.25</v>
      </c>
      <c r="Q337" s="99" t="n"/>
      <c r="R337" s="99" t="n"/>
      <c r="S337" s="50" t="e">
        <v>#REF!</v>
      </c>
    </row>
    <row r="338" ht="30" customHeight="1">
      <c r="A338" s="55" t="inlineStr">
        <is>
          <t>CP340</t>
        </is>
      </c>
      <c r="B338" s="55" t="inlineStr">
        <is>
          <t>CERRADA</t>
        </is>
      </c>
      <c r="C338" s="56" t="n">
        <v>45742</v>
      </c>
      <c r="D338" s="57" t="inlineStr">
        <is>
          <t>OC25-251000993</t>
        </is>
      </c>
      <c r="E338" s="58" t="n">
        <v>45693</v>
      </c>
      <c r="F338" s="57" t="n">
        <v>242</v>
      </c>
      <c r="G338" s="55" t="inlineStr">
        <is>
          <t>OC25-251000993 REP-INST 242.01 ERGOVISUAL SALA PRESIDENCIAL MONCLOA MAD</t>
        </is>
      </c>
      <c r="H338" s="55" t="inlineStr">
        <is>
          <t>Ergovisual</t>
        </is>
      </c>
      <c r="I338" s="55" t="inlineStr">
        <is>
          <t>Manel</t>
        </is>
      </c>
      <c r="J338" s="55" t="inlineStr">
        <is>
          <t>Roberto</t>
        </is>
      </c>
      <c r="K338" s="55" t="inlineStr">
        <is>
          <t>Error en la instalación</t>
        </is>
      </c>
      <c r="L338" s="55" t="e">
        <v>#REF!</v>
      </c>
      <c r="M338" s="59" t="inlineStr">
        <is>
          <t>Asegurarse de que los instaladores tienen los planos y enviar los planos en el bulto</t>
        </is>
      </c>
      <c r="N338" s="55" t="inlineStr">
        <is>
          <t>enviar los paneles sobrantes para poder rellenar la pared</t>
        </is>
      </c>
      <c r="O338" s="46" t="inlineStr">
        <is>
          <t>los paneles iban separados y sertebra los unió</t>
        </is>
      </c>
      <c r="P338" s="101" t="n">
        <v>726</v>
      </c>
      <c r="Q338" s="102" t="n"/>
      <c r="R338" s="102" t="n"/>
      <c r="S338" s="55" t="e">
        <v>#REF!</v>
      </c>
    </row>
    <row r="339" ht="30" customHeight="1">
      <c r="A339" s="50" t="inlineStr">
        <is>
          <t>CP341</t>
        </is>
      </c>
      <c r="B339" s="50" t="inlineStr">
        <is>
          <t>CERRADA</t>
        </is>
      </c>
      <c r="C339" s="51" t="n">
        <v>45743</v>
      </c>
      <c r="D339" s="52" t="inlineStr">
        <is>
          <t>OC25-251001024</t>
        </is>
      </c>
      <c r="E339" s="53" t="n">
        <v>45680</v>
      </c>
      <c r="F339" s="52" t="n">
        <v>7482</v>
      </c>
      <c r="G339" s="50" t="inlineStr">
        <is>
          <t>OC25-251001024 - REP-MP. 7482. 01. OP1 HOTEL SALA BISTROT_OTTAVA_INTER_IT</t>
        </is>
      </c>
      <c r="H339" s="50" t="inlineStr">
        <is>
          <t>OTTAVA</t>
        </is>
      </c>
      <c r="I339" s="50" t="inlineStr">
        <is>
          <t>Rafik</t>
        </is>
      </c>
      <c r="J339" s="50" t="inlineStr">
        <is>
          <t>Luis</t>
        </is>
      </c>
      <c r="K339" s="50" t="inlineStr">
        <is>
          <t>Defecto Materia Prima</t>
        </is>
      </c>
      <c r="L339" s="50" t="e">
        <v>#REF!</v>
      </c>
      <c r="M339" s="54" t="inlineStr">
        <is>
          <t>Hablar con el fabricante</t>
        </is>
      </c>
      <c r="N339" s="50" t="inlineStr">
        <is>
          <t>Reponer 30ud de adhesivo</t>
        </is>
      </c>
      <c r="O339" s="47" t="inlineStr">
        <is>
          <t>Adhesivo endurecido</t>
        </is>
      </c>
      <c r="P339" s="98" t="n">
        <v>321.6</v>
      </c>
      <c r="Q339" s="99" t="n"/>
      <c r="R339" s="99" t="n"/>
      <c r="S339" s="50" t="e">
        <v>#REF!</v>
      </c>
    </row>
    <row r="340" ht="75" customHeight="1">
      <c r="A340" s="55" t="inlineStr">
        <is>
          <t>CP342</t>
        </is>
      </c>
      <c r="B340" s="55" t="inlineStr">
        <is>
          <t>CERRADA</t>
        </is>
      </c>
      <c r="C340" s="56" t="n">
        <v>45747</v>
      </c>
      <c r="D340" s="57" t="inlineStr">
        <is>
          <t>OC25-251001090</t>
        </is>
      </c>
      <c r="E340" s="58" t="n">
        <v>45705</v>
      </c>
      <c r="F340" s="57" t="n">
        <v>319</v>
      </c>
      <c r="G340" s="55" t="inlineStr">
        <is>
          <t>OC25-251001090 - REP-INST 319. 00. NAM0180720-0102389_OUEST BUREAU_INTER_FR</t>
        </is>
      </c>
      <c r="H340" s="55" t="inlineStr">
        <is>
          <t>OUEST BUREAU</t>
        </is>
      </c>
      <c r="I340" s="55" t="inlineStr">
        <is>
          <t>Sylvain</t>
        </is>
      </c>
      <c r="J340" s="55" t="inlineStr">
        <is>
          <t>Rashli</t>
        </is>
      </c>
      <c r="K340" s="55" t="inlineStr">
        <is>
          <t>Error en la instalación</t>
        </is>
      </c>
      <c r="L340" s="55" t="e">
        <v>#REF!</v>
      </c>
      <c r="M340" s="59" t="inlineStr">
        <is>
          <t>Hacer instrucciones de instalación más claras con el adhesivo turbo</t>
        </is>
      </c>
      <c r="N340" s="55" t="inlineStr">
        <is>
          <t>Reponer 4 uds de panel que están dañados y uno de adhesivo turbo</t>
        </is>
      </c>
      <c r="O340" s="46" t="inlineStr">
        <is>
          <t>Durante la instalación, el cliente no pudo pegar los paneles de 24 mm ya que no se quedaban pegados. Al principio pensaron que era porque la cola estaba caducada pero ralmente es porque no están esperando los suficiente para que se seque. Se enviaron de nuevo a coste cero... Area manager refuerza que lo enviemos gratis. Como no "habiamos explicado como instalarse" se acogian a eso. No habian instrucciones de instalacion previas.. se hicieron a posteriori.</t>
        </is>
      </c>
      <c r="P340" s="101" t="n">
        <v>93.59999999999999</v>
      </c>
      <c r="Q340" s="102" t="n"/>
      <c r="R340" s="102" t="n"/>
      <c r="S340" s="55" t="e">
        <v>#REF!</v>
      </c>
    </row>
    <row r="341" ht="30" customHeight="1">
      <c r="A341" s="50" t="inlineStr">
        <is>
          <t>CP343</t>
        </is>
      </c>
      <c r="B341" s="50" t="inlineStr">
        <is>
          <t>CERRADA</t>
        </is>
      </c>
      <c r="C341" s="51" t="n">
        <v>45747</v>
      </c>
      <c r="D341" s="52" t="inlineStr">
        <is>
          <t>OC25-251001093</t>
        </is>
      </c>
      <c r="E341" s="53" t="n">
        <v>45728</v>
      </c>
      <c r="F341" s="52" t="n">
        <v>54</v>
      </c>
      <c r="G341" s="50" t="inlineStr">
        <is>
          <t>OC25-251001093 - REP-ERT 54. 00. PARIS MATCH_SILVERA_ECOWALL VOLUME_INTER_FR</t>
        </is>
      </c>
      <c r="H341" s="50" t="inlineStr">
        <is>
          <t>SILVERA</t>
        </is>
      </c>
      <c r="I341" s="50" t="inlineStr">
        <is>
          <t>Sylvain</t>
        </is>
      </c>
      <c r="J341" s="50" t="inlineStr">
        <is>
          <t>Rashli</t>
        </is>
      </c>
      <c r="K341" s="50" t="inlineStr">
        <is>
          <t>Error técnico</t>
        </is>
      </c>
      <c r="L341" s="50" t="e">
        <v>#REF!</v>
      </c>
      <c r="M341" s="54" t="inlineStr">
        <is>
          <t>Revisar bien el número de imanes</t>
        </is>
      </c>
      <c r="N341" s="50" t="inlineStr">
        <is>
          <t>Reponer los imanes que no les llegaron</t>
        </is>
      </c>
      <c r="O341" s="47" t="inlineStr">
        <is>
          <t>Hubo un error de transcripción en el epdido. Se solicitaron 153 imanes y se mandaron 140.</t>
        </is>
      </c>
      <c r="P341" s="98" t="n">
        <v>15.6</v>
      </c>
      <c r="Q341" s="99" t="n"/>
      <c r="R341" s="99" t="n"/>
      <c r="S341" s="50" t="e">
        <v>#REF!</v>
      </c>
    </row>
    <row r="342" ht="60" customHeight="1">
      <c r="A342" s="55" t="inlineStr">
        <is>
          <t>CP344</t>
        </is>
      </c>
      <c r="B342" s="55" t="inlineStr">
        <is>
          <t>CERRADA</t>
        </is>
      </c>
      <c r="C342" s="56" t="n">
        <v>45747</v>
      </c>
      <c r="D342" s="57" t="inlineStr">
        <is>
          <t>OC25-251000747</t>
        </is>
      </c>
      <c r="E342" s="58" t="n">
        <v>45730</v>
      </c>
      <c r="F342" s="57" t="inlineStr">
        <is>
          <t>OC25-251000265</t>
        </is>
      </c>
      <c r="G342" s="55" t="inlineStr">
        <is>
          <t>OC25-251000747 - REP-TF OC25-251000265 ETUDE DAVID_PBA_CODE_INTER_FR</t>
        </is>
      </c>
      <c r="H342" s="55" t="inlineStr">
        <is>
          <t>PBA</t>
        </is>
      </c>
      <c r="I342" s="55" t="inlineStr">
        <is>
          <t>Sylvain</t>
        </is>
      </c>
      <c r="J342" s="55" t="inlineStr">
        <is>
          <t>Rashli</t>
        </is>
      </c>
      <c r="K342" s="55" t="inlineStr">
        <is>
          <t>2 Errores TF</t>
        </is>
      </c>
      <c r="L342" s="55" t="e">
        <v>#REF!</v>
      </c>
      <c r="M342" s="59" t="inlineStr">
        <is>
          <t>Revisar que el pedido en SAP esté en unidades</t>
        </is>
      </c>
      <c r="N342" s="55" t="inlineStr">
        <is>
          <t>Enviar los 12 módulos que faltan</t>
        </is>
      </c>
      <c r="O342" s="46" t="inlineStr">
        <is>
          <t>Se tenían que repetir 42 módulos de CODE que llegaron mal por el transporte. Tanto en trello como en la hoja de fabricación salía que tenían que hacerse 42 módulos, pero en SAP aparecían 30m2. 30m2 se corresponde a 42 modulos, pero como no diferencia, parece que el pedido lo que reflejaba es que se necesitaban 30 módulos.</t>
        </is>
      </c>
      <c r="P342" s="101" t="n">
        <v>1016.4</v>
      </c>
      <c r="Q342" s="102" t="n"/>
      <c r="R342" s="102" t="n"/>
      <c r="S342" s="55" t="e">
        <v>#REF!</v>
      </c>
    </row>
    <row r="343" ht="30" customHeight="1">
      <c r="A343" s="50" t="inlineStr">
        <is>
          <t>CP345</t>
        </is>
      </c>
      <c r="B343" s="50" t="inlineStr">
        <is>
          <t>CERRADA</t>
        </is>
      </c>
      <c r="C343" s="51" t="n">
        <v>45747</v>
      </c>
      <c r="D343" s="52" t="inlineStr">
        <is>
          <t xml:space="preserve">OC25-251001112 </t>
        </is>
      </c>
      <c r="E343" s="53" t="n">
        <v>45737</v>
      </c>
      <c r="F343" s="52" t="n">
        <v>759</v>
      </c>
      <c r="G343" s="50" t="inlineStr">
        <is>
          <t>OC25-251001112 - REP-FCF 759. 00. CONSTEL_BC4700006185_ORMEPO_INTER_FR</t>
        </is>
      </c>
      <c r="H343" s="50" t="inlineStr">
        <is>
          <t>ORMEPO</t>
        </is>
      </c>
      <c r="I343" s="50" t="inlineStr">
        <is>
          <t>Sylvain</t>
        </is>
      </c>
      <c r="J343" s="50" t="inlineStr">
        <is>
          <t>Rashli</t>
        </is>
      </c>
      <c r="K343" s="50" t="inlineStr">
        <is>
          <t>Falta Componentes fábrica</t>
        </is>
      </c>
      <c r="L343" s="50" t="e">
        <v>#REF!</v>
      </c>
      <c r="M343" s="54" t="inlineStr">
        <is>
          <t>Estar pendiente del pedido en general.</t>
        </is>
      </c>
      <c r="N343" s="50" t="inlineStr">
        <is>
          <t>Enviar los anclajes correctos para el PET de 24mm.</t>
        </is>
      </c>
      <c r="O343" s="47" t="inlineStr">
        <is>
          <t>El pedido llevaba unos paneles de 24mm para colgar y se le enviaron anclajes C para espesor de 12 mm.</t>
        </is>
      </c>
      <c r="P343" s="98" t="n">
        <v>43.2</v>
      </c>
      <c r="Q343" s="99" t="n"/>
      <c r="R343" s="99" t="n"/>
      <c r="S343" s="50" t="e">
        <v>#REF!</v>
      </c>
    </row>
    <row r="344" ht="30" customHeight="1">
      <c r="A344" s="55" t="inlineStr">
        <is>
          <t>CP346</t>
        </is>
      </c>
      <c r="B344" s="55" t="inlineStr">
        <is>
          <t>CERRADA</t>
        </is>
      </c>
      <c r="C344" s="56" t="n">
        <v>45748</v>
      </c>
      <c r="D344" s="57" t="inlineStr">
        <is>
          <t xml:space="preserve">OC25-251001161 </t>
        </is>
      </c>
      <c r="E344" s="58" t="n">
        <v>45678</v>
      </c>
      <c r="F344" s="57" t="n">
        <v>8035</v>
      </c>
      <c r="G344" s="55" t="inlineStr">
        <is>
          <t>OC25-251001161 - REP-IT 8035. 00. BZ SISTEMAS 241304 CIRCULAR ISLAND PV</t>
        </is>
      </c>
      <c r="H344" s="55" t="inlineStr">
        <is>
          <t>BZ sistemas</t>
        </is>
      </c>
      <c r="I344" s="55" t="inlineStr">
        <is>
          <t>Jon Rioboo</t>
        </is>
      </c>
      <c r="J344" s="55" t="inlineStr">
        <is>
          <t>Rashli</t>
        </is>
      </c>
      <c r="K344" s="55" t="inlineStr">
        <is>
          <t>Transporte</t>
        </is>
      </c>
      <c r="L344" s="55" t="e">
        <v>#REF!</v>
      </c>
      <c r="M344" s="59" t="inlineStr">
        <is>
          <t>Proteger mejor el FOAM.</t>
        </is>
      </c>
      <c r="N344" s="55" t="inlineStr">
        <is>
          <t>Enviar las islas dañadas en PET de 12 mm.</t>
        </is>
      </c>
      <c r="O344" s="46" t="inlineStr">
        <is>
          <t>Las tres islas de FOAM blanco pintado llegaron con daños. Tenían la pintura desconchadas y algunas hendiduras que parecían de presionar con los dedos.</t>
        </is>
      </c>
      <c r="P344" s="101" t="n">
        <v>319.44</v>
      </c>
      <c r="Q344" s="102" t="n"/>
      <c r="R344" s="102" t="n"/>
      <c r="S344" s="55" t="e">
        <v>#REF!</v>
      </c>
    </row>
    <row r="345" ht="105" customHeight="1">
      <c r="A345" s="50" t="inlineStr">
        <is>
          <t>CP347</t>
        </is>
      </c>
      <c r="B345" s="50" t="inlineStr">
        <is>
          <t>CERRADA</t>
        </is>
      </c>
      <c r="C345" s="51" t="n">
        <v>45749</v>
      </c>
      <c r="D345" s="52" t="inlineStr">
        <is>
          <t>OC25-251001187</t>
        </is>
      </c>
      <c r="E345" s="53" t="n">
        <v>45743</v>
      </c>
      <c r="F345" s="52" t="inlineStr">
        <is>
          <t>OC25-251000763</t>
        </is>
      </c>
      <c r="G345" s="50" t="inlineStr">
        <is>
          <t>OC25-251001187 - REP-CLI OC25-251000763 - LA PREEMINENTE SAVILLS MÓDULO F CAT</t>
        </is>
      </c>
      <c r="H345" s="50" t="inlineStr">
        <is>
          <t>LA PREEMINENTE</t>
        </is>
      </c>
      <c r="I345" s="50" t="inlineStr">
        <is>
          <t>Manel</t>
        </is>
      </c>
      <c r="J345" s="50" t="inlineStr">
        <is>
          <t>Mónica</t>
        </is>
      </c>
      <c r="K345" s="50" t="inlineStr">
        <is>
          <t>Defecto por cliente</t>
        </is>
      </c>
      <c r="L345" s="50" t="e">
        <v>#REF!</v>
      </c>
      <c r="M345" s="54" t="inlineStr">
        <is>
          <t>Enviar el presupuesto al cliente antes de poner el pedido en marcha, resumir el pedido en el mail al cliente y asegurarse de que el cliente lo lee</t>
        </is>
      </c>
      <c r="N345" s="50" t="inlineStr">
        <is>
          <t>Reposición al cliente de medio pedidoy asumirlo 50% con el comercial</t>
        </is>
      </c>
      <c r="O345" s="47" t="inlineStr">
        <is>
          <t xml:space="preserve">El cliente indicó un solo color y se asumió que todo el pedido iba en ese color. Tras recibir el pedido, el cliente comentó que eran dos colores. El pedido tenía una partida de cuadrilateral y una partida de paneles, le pedimos que confirmase el color y nos envió una foto de un color en que la descripción ponía techo, sin indicar que los Vcut iban en pared y que eran de otro color. solo nos dieron un color para este pedido. En las indicaciones de Rebeca Preminente, se interpretaba que toda la mercancia era en un color. En ningun momento dijo que eran dos colores, ni tampoco indico que los productos eran para pared y techo... Se repone a cero. </t>
        </is>
      </c>
      <c r="P345" s="98" t="inlineStr">
        <is>
          <t>1,464,10</t>
        </is>
      </c>
      <c r="Q345" s="99" t="n"/>
      <c r="R345" s="99" t="n"/>
      <c r="S345" s="50" t="e">
        <v>#REF!</v>
      </c>
    </row>
    <row r="346" ht="30" customHeight="1">
      <c r="A346" s="55" t="inlineStr">
        <is>
          <t>CP348</t>
        </is>
      </c>
      <c r="B346" s="55" t="inlineStr">
        <is>
          <t>CERRADA</t>
        </is>
      </c>
      <c r="C346" s="56" t="n">
        <v>45749</v>
      </c>
      <c r="D346" s="57" t="inlineStr">
        <is>
          <t xml:space="preserve">OC25-251001218 </t>
        </is>
      </c>
      <c r="E346" s="58" t="n">
        <v>45720</v>
      </c>
      <c r="F346" s="57" t="n">
        <v>312</v>
      </c>
      <c r="G346" s="55" t="inlineStr">
        <is>
          <t>OC25-251001218 - REP-ERT 312. 00. BE88 IGLESIA VCUT PV</t>
        </is>
      </c>
      <c r="H346" s="55" t="inlineStr">
        <is>
          <t>BE88</t>
        </is>
      </c>
      <c r="I346" s="55" t="inlineStr">
        <is>
          <t>Jon Rioboo</t>
        </is>
      </c>
      <c r="J346" s="55" t="inlineStr">
        <is>
          <t>Rashli</t>
        </is>
      </c>
      <c r="K346" s="55" t="inlineStr">
        <is>
          <t>Error CAD</t>
        </is>
      </c>
      <c r="L346" s="55" t="e">
        <v>#REF!</v>
      </c>
      <c r="M346" s="59" t="inlineStr">
        <is>
          <t>Comprobr que las medidas solictadas por el cliente están bien trasladadas</t>
        </is>
      </c>
      <c r="N346" s="55" t="inlineStr">
        <is>
          <t>Reponer 3 paneles V-CUT</t>
        </is>
      </c>
      <c r="O346" s="46" t="inlineStr">
        <is>
          <t>El cliente pdidó unas medidas y se cortaron las piezas más peueñas. Además hay un diseño de espiga que no cuadraba.</t>
        </is>
      </c>
      <c r="P346" s="101" t="n">
        <v>696.96</v>
      </c>
      <c r="Q346" s="102" t="n"/>
      <c r="R346" s="102" t="n"/>
      <c r="S346" s="55" t="e">
        <v>#REF!</v>
      </c>
    </row>
    <row r="347" ht="45" customHeight="1">
      <c r="A347" s="50" t="inlineStr">
        <is>
          <t>CP349</t>
        </is>
      </c>
      <c r="B347" s="50" t="inlineStr">
        <is>
          <t>CERRADA</t>
        </is>
      </c>
      <c r="C347" s="51" t="n">
        <v>45749</v>
      </c>
      <c r="D347" s="52" t="inlineStr">
        <is>
          <t>OC25-251000770</t>
        </is>
      </c>
      <c r="E347" s="53" t="n">
        <v>45715</v>
      </c>
      <c r="F347" s="52" t="n">
        <v>371</v>
      </c>
      <c r="G347" s="50" t="inlineStr">
        <is>
          <t>OC25-251000770 - REP-COM 371. 01. INSITU UTOPICUS TRAVESSERA PLANTA 2 CAT</t>
        </is>
      </c>
      <c r="H347" s="50" t="inlineStr">
        <is>
          <t>INSITU</t>
        </is>
      </c>
      <c r="I347" s="50" t="inlineStr">
        <is>
          <t>Manel</t>
        </is>
      </c>
      <c r="J347" s="50" t="inlineStr">
        <is>
          <t>Mónica</t>
        </is>
      </c>
      <c r="K347" s="50" t="inlineStr">
        <is>
          <t>Defecto por comercial</t>
        </is>
      </c>
      <c r="L347" s="50" t="e">
        <v>#REF!</v>
      </c>
      <c r="M347" s="54" t="inlineStr">
        <is>
          <t>Contrastar con el cliente las medidas de las piezas para evitar confusiones entre cliente-comercial-técnico</t>
        </is>
      </c>
      <c r="N347" s="50" t="inlineStr">
        <is>
          <t>Reposición de las piezas incorrectas y asumirlo 50% con el comercial</t>
        </is>
      </c>
      <c r="O347" s="47" t="inlineStr">
        <is>
          <t>Se enviaron unas piezas a una medida incorrecta. El comercial (Manel) midió en obra y trasladó al equipo técnico mal las dimensiones.</t>
        </is>
      </c>
      <c r="P347" s="92" t="n">
        <v>4325.87</v>
      </c>
      <c r="Q347" s="99" t="n"/>
      <c r="R347" s="99" t="n"/>
      <c r="S347" s="50" t="e">
        <v>#REF!</v>
      </c>
    </row>
    <row r="348" ht="30" customHeight="1">
      <c r="A348" s="55" t="inlineStr">
        <is>
          <t>CP350</t>
        </is>
      </c>
      <c r="B348" s="55" t="inlineStr">
        <is>
          <t>CERRADA</t>
        </is>
      </c>
      <c r="C348" s="56" t="n">
        <v>45749</v>
      </c>
      <c r="D348" s="57" t="inlineStr">
        <is>
          <t>OC25-251001141</t>
        </is>
      </c>
      <c r="E348" s="58" t="n">
        <v>45709</v>
      </c>
      <c r="F348" s="57" t="n">
        <v>618</v>
      </c>
      <c r="G348" s="55" t="inlineStr">
        <is>
          <t>OC25-251001141 - REP-ES 618. 00. JORBACHS PETIT FORESTIER CAT</t>
        </is>
      </c>
      <c r="H348" s="55" t="inlineStr">
        <is>
          <t>JORBACHS</t>
        </is>
      </c>
      <c r="I348" s="55" t="inlineStr">
        <is>
          <t>Manel</t>
        </is>
      </c>
      <c r="J348" s="55" t="inlineStr">
        <is>
          <t>Mónica</t>
        </is>
      </c>
      <c r="K348" s="55" t="inlineStr">
        <is>
          <t>Error estandarización</t>
        </is>
      </c>
      <c r="L348" s="55" t="e">
        <v>#REF!</v>
      </c>
      <c r="M348" s="59" t="inlineStr">
        <is>
          <t>Poner atención a los detalles y no servir en caso de que el producto no esté perfecto</t>
        </is>
      </c>
      <c r="N348" s="55" t="inlineStr">
        <is>
          <t>Reponer un panel QUIET doble alto</t>
        </is>
      </c>
      <c r="O348" s="46" t="inlineStr">
        <is>
          <t>Se envió un panel QUIET agrietado en una zona debido al poste.</t>
        </is>
      </c>
      <c r="P348" s="124" t="n">
        <v>572.33</v>
      </c>
      <c r="Q348" s="102" t="n"/>
      <c r="R348" s="102" t="n"/>
      <c r="S348" s="55" t="e">
        <v>#REF!</v>
      </c>
    </row>
    <row r="349" ht="105" customHeight="1">
      <c r="A349" s="50" t="inlineStr">
        <is>
          <t>CP351</t>
        </is>
      </c>
      <c r="B349" s="50" t="inlineStr">
        <is>
          <t>CERRADA</t>
        </is>
      </c>
      <c r="C349" s="51" t="n">
        <v>45750</v>
      </c>
      <c r="D349" s="52" t="inlineStr">
        <is>
          <t>OC25-251001258</t>
        </is>
      </c>
      <c r="E349" s="53" t="n">
        <v>45726</v>
      </c>
      <c r="F349" s="52" t="n">
        <v>1438</v>
      </c>
      <c r="G349" s="50" t="inlineStr">
        <is>
          <t>OC25-251001258 - REP-CLI 1438. 00. LA PREEMINENTE HOTEL VICTORIA O250088 CAT</t>
        </is>
      </c>
      <c r="H349" s="50" t="inlineStr">
        <is>
          <t>LA PREEMINENTE</t>
        </is>
      </c>
      <c r="I349" s="50" t="inlineStr">
        <is>
          <t>Manel</t>
        </is>
      </c>
      <c r="J349" s="50" t="inlineStr">
        <is>
          <t>Mónica</t>
        </is>
      </c>
      <c r="K349" s="50" t="inlineStr">
        <is>
          <t>Defecto por cliente</t>
        </is>
      </c>
      <c r="L349" s="50" t="e">
        <v>#REF!</v>
      </c>
      <c r="M349" s="54" t="inlineStr">
        <is>
          <t>Confirmar con el cliente que las medidas en plano y en el despiece son correctas.</t>
        </is>
      </c>
      <c r="N349" s="50" t="inlineStr">
        <is>
          <t>Reponer 25 piezas de 350*2340*9 mm ECO-140 asumirlo 50% con el comercial</t>
        </is>
      </c>
      <c r="O349" s="47" t="inlineStr">
        <is>
          <t>La cliente replanteó el Quadrilateral considerando que la medida es 585 mm, por lo que las piezas que pidió para el perímetro no coinciden en el ancho. Puso en el proyecto cuadrilateral pegado a techo, en una leyenda pidió quadriateral de las dimensiones de catálogo (595*595mm, pero en plano, lo habia dibujado a 585*585mm, por lo que las piezas que iba a utilizar para completar el perímetro de quadrilateral estaban mal pedidas, considerando quadrilateral de 585*585mm. En la orden de compra, además, pidió quadrilateral de 595*595mm.  El pedido esta mal solicitado, se confunde la clienta.</t>
        </is>
      </c>
      <c r="P349" s="98" t="n">
        <v>1557.27</v>
      </c>
      <c r="Q349" s="99" t="n"/>
      <c r="R349" s="99" t="n"/>
      <c r="S349" s="50" t="e">
        <v>#REF!</v>
      </c>
    </row>
    <row r="350" ht="45" customHeight="1">
      <c r="A350" s="55" t="inlineStr">
        <is>
          <t>CP352</t>
        </is>
      </c>
      <c r="B350" s="55" t="inlineStr">
        <is>
          <t>CERRADA</t>
        </is>
      </c>
      <c r="C350" s="56" t="n">
        <v>45754</v>
      </c>
      <c r="D350" s="57" t="inlineStr">
        <is>
          <t>OC25-251001089</t>
        </is>
      </c>
      <c r="E350" s="58" t="n">
        <v>45719</v>
      </c>
      <c r="F350" s="57" t="n">
        <v>1425</v>
      </c>
      <c r="G350" s="55" t="inlineStr">
        <is>
          <t>OC25-251001089 - REP-IT. 1425. 01. DP_NVIDIA OFFICES_WUERSELEN_HAWORTH_ECOWALL VCUT_G</t>
        </is>
      </c>
      <c r="H350" s="55" t="inlineStr">
        <is>
          <t>HAWORTH GMBH</t>
        </is>
      </c>
      <c r="I350" s="55" t="inlineStr">
        <is>
          <t>Iciar</t>
        </is>
      </c>
      <c r="J350" s="55" t="inlineStr">
        <is>
          <t>Luis</t>
        </is>
      </c>
      <c r="K350" s="55" t="inlineStr">
        <is>
          <t>Transporte</t>
        </is>
      </c>
      <c r="L350" s="55" t="e">
        <v>#REF!</v>
      </c>
      <c r="M350" s="59" t="inlineStr">
        <is>
          <t>Reforzar empaquetado</t>
        </is>
      </c>
      <c r="N350" s="55" t="inlineStr">
        <is>
          <t>Repetir pared entera por rotura de stock para evitar diferencia de color</t>
        </is>
      </c>
      <c r="O350" s="46" t="inlineStr">
        <is>
          <t>Paneles que llegaron al cliente defectuosos. Repetimos pared entera por rotura de stock</t>
        </is>
      </c>
      <c r="P350" s="101" t="n">
        <v>2461</v>
      </c>
      <c r="Q350" s="102" t="n"/>
      <c r="R350" s="102" t="n"/>
      <c r="S350" s="55" t="e">
        <v>#REF!</v>
      </c>
    </row>
    <row r="351" ht="45" customHeight="1">
      <c r="A351" s="50" t="inlineStr">
        <is>
          <t>CP353</t>
        </is>
      </c>
      <c r="B351" s="50" t="inlineStr">
        <is>
          <t>CERRADA</t>
        </is>
      </c>
      <c r="C351" s="51" t="n">
        <v>45755</v>
      </c>
      <c r="D351" s="52" t="inlineStr">
        <is>
          <t>OC25-251001429</t>
        </is>
      </c>
      <c r="E351" s="53" t="n">
        <v>45737</v>
      </c>
      <c r="F351" s="52" t="n">
        <v>251000632</v>
      </c>
      <c r="G351" s="50" t="inlineStr">
        <is>
          <t>OC25-251001429 - REP-FCLI OC25-251000632 - INSITU UTOPICUS TRAVESSERA PLANTA 1 CAT</t>
        </is>
      </c>
      <c r="H351" s="50" t="inlineStr">
        <is>
          <t>Insitu</t>
        </is>
      </c>
      <c r="I351" s="50" t="inlineStr">
        <is>
          <t>Manel</t>
        </is>
      </c>
      <c r="J351" s="50" t="inlineStr">
        <is>
          <t>Mónica</t>
        </is>
      </c>
      <c r="K351" s="50" t="inlineStr">
        <is>
          <t>2 Errores FCL</t>
        </is>
      </c>
      <c r="L351" s="50" t="e">
        <v>#REF!</v>
      </c>
      <c r="M351" s="54" t="inlineStr">
        <is>
          <t>Enviar los paneles ECOnordik roble a la medida correcta.</t>
        </is>
      </c>
      <c r="N351" s="50" t="inlineStr">
        <is>
          <t>Indicar varias veces en Trello la medida para que no pase desapercibida.</t>
        </is>
      </c>
      <c r="O351" s="47" t="inlineStr">
        <is>
          <t>Se pidieron unos ECOnordik a 2400 y se fabricaron a 2340 mm. Por otra parte, el cliente comenta que le han faltado dos paneles biselados. Los despieces coinciden con el archivo de corte, por lo que no podemos asumir que ha sido error de fábrica.</t>
        </is>
      </c>
      <c r="P351" s="98" t="inlineStr">
        <is>
          <t>4,123,68</t>
        </is>
      </c>
      <c r="Q351" s="99" t="n"/>
      <c r="R351" s="99" t="n"/>
      <c r="S351" s="50" t="e">
        <v>#REF!</v>
      </c>
    </row>
    <row r="352" ht="60" customHeight="1">
      <c r="A352" s="55" t="inlineStr">
        <is>
          <t>CP354</t>
        </is>
      </c>
      <c r="B352" s="55" t="inlineStr">
        <is>
          <t>CERRADA</t>
        </is>
      </c>
      <c r="C352" s="56" t="n">
        <v>45756</v>
      </c>
      <c r="D352" s="57" t="inlineStr">
        <is>
          <t>OC25-251001234</t>
        </is>
      </c>
      <c r="E352" s="58" t="n">
        <v>45722</v>
      </c>
      <c r="F352" s="57" t="n">
        <v>1315</v>
      </c>
      <c r="G352" s="55" t="inlineStr">
        <is>
          <t>OC25-251001234 - REP-CAT 1315. 00. DISTRIPLAC AILLAMENTS BLANES G7H472000367415 CAT</t>
        </is>
      </c>
      <c r="H352" s="55" t="inlineStr">
        <is>
          <t>Distriplac</t>
        </is>
      </c>
      <c r="I352" s="55" t="inlineStr">
        <is>
          <t>Manel</t>
        </is>
      </c>
      <c r="J352" s="55" t="inlineStr">
        <is>
          <t>Mónica</t>
        </is>
      </c>
      <c r="K352" s="55" t="inlineStr">
        <is>
          <t>Error catálogo</t>
        </is>
      </c>
      <c r="L352" s="55" t="e">
        <v>#REF!</v>
      </c>
      <c r="M352" s="59" t="inlineStr">
        <is>
          <t>Reponer un panel Volume EW237 con simetría</t>
        </is>
      </c>
      <c r="N352" s="55" t="inlineStr">
        <is>
          <t>No mostrar en catálogo diseños que no aparecen en las especificaciones técnicas y mejorar la comunicación con el cliente para que proporcione las imágenes de referencia relativas al pedido.</t>
        </is>
      </c>
      <c r="O352" s="46" t="inlineStr">
        <is>
          <t>El cliente pidió un panel Volume con un diseño que se muestra en catálogo que no existe, sino que se le ha aplicado una simetría. El cliente pidió el panel según la referencia de catálogo sin aportar la imagen del catálogo sobre la que se basó.</t>
        </is>
      </c>
      <c r="P352" s="101" t="n">
        <v>445.89</v>
      </c>
      <c r="Q352" s="102" t="n"/>
      <c r="R352" s="102" t="n"/>
      <c r="S352" s="55" t="e">
        <v>#REF!</v>
      </c>
    </row>
    <row r="353" ht="30" customHeight="1">
      <c r="A353" s="50" t="inlineStr">
        <is>
          <t>CP355</t>
        </is>
      </c>
      <c r="B353" s="50" t="inlineStr">
        <is>
          <t>CERRADA</t>
        </is>
      </c>
      <c r="C353" s="51" t="n">
        <v>45758</v>
      </c>
      <c r="D353" s="52" t="inlineStr">
        <is>
          <t>OC25-251000940</t>
        </is>
      </c>
      <c r="E353" s="53" t="n">
        <v>45747</v>
      </c>
      <c r="F353" s="52" t="inlineStr">
        <is>
          <t>OC25-251000940</t>
        </is>
      </c>
      <c r="G353" s="50" t="inlineStr">
        <is>
          <t>REP-IT. OC25-251000940 - BIEL ADH FOAM BAL</t>
        </is>
      </c>
      <c r="H353" s="50" t="inlineStr">
        <is>
          <t>Biel</t>
        </is>
      </c>
      <c r="I353" s="50" t="inlineStr">
        <is>
          <t>José Luis Chico</t>
        </is>
      </c>
      <c r="J353" s="50" t="inlineStr">
        <is>
          <t>David</t>
        </is>
      </c>
      <c r="K353" s="50" t="inlineStr">
        <is>
          <t>Transporte</t>
        </is>
      </c>
      <c r="L353" s="50" t="e">
        <v>#REF!</v>
      </c>
      <c r="M353" s="54" t="inlineStr">
        <is>
          <t>Abonarle al cliente el importe completo de los adhesivos y envío</t>
        </is>
      </c>
      <c r="N353" s="50" t="inlineStr">
        <is>
          <t>Gestionar con la agencia</t>
        </is>
      </c>
      <c r="O353" s="47" t="inlineStr">
        <is>
          <t>El cliente compró otro adhesivo porque el transporte perdió el bulto y no entregó en fecha de instalación</t>
        </is>
      </c>
      <c r="P353" s="98" t="n">
        <v>650</v>
      </c>
      <c r="Q353" s="99" t="n"/>
      <c r="R353" s="99" t="n"/>
      <c r="S353" s="50" t="e">
        <v>#REF!</v>
      </c>
    </row>
    <row r="354" ht="45" customHeight="1">
      <c r="A354" s="55" t="inlineStr">
        <is>
          <t>CP356</t>
        </is>
      </c>
      <c r="B354" s="55" t="inlineStr">
        <is>
          <t>CERRADA</t>
        </is>
      </c>
      <c r="C354" s="56" t="n">
        <v>45762</v>
      </c>
      <c r="D354" s="57" t="inlineStr">
        <is>
          <t>OC25-251001620</t>
        </is>
      </c>
      <c r="E354" s="58" t="n">
        <v>45744</v>
      </c>
      <c r="F354" s="57" t="inlineStr">
        <is>
          <t>OC25-251000123</t>
        </is>
      </c>
      <c r="G354" s="55" t="inlineStr">
        <is>
          <t>OC25-251001620 SUTEGA REP-FPF. OC25-251000123 SUTEGA TECHOS SANITAS BUPA CAMPUS MAD</t>
        </is>
      </c>
      <c r="H354" s="55" t="inlineStr">
        <is>
          <t>Sutega</t>
        </is>
      </c>
      <c r="I354" s="55" t="inlineStr">
        <is>
          <t>Marc</t>
        </is>
      </c>
      <c r="J354" s="55" t="inlineStr">
        <is>
          <t>Ángela</t>
        </is>
      </c>
      <c r="K354" s="55" t="inlineStr">
        <is>
          <t>Falta Componentes fábrica</t>
        </is>
      </c>
      <c r="L354" s="55" t="e">
        <v>#REF!</v>
      </c>
      <c r="M354" s="59" t="inlineStr">
        <is>
          <t>Revisar pedido y hacer fotos antes de empaquetare</t>
        </is>
      </c>
      <c r="N354" s="55" t="inlineStr">
        <is>
          <t xml:space="preserve">enviar 3 econordiks </t>
        </is>
      </c>
      <c r="O354" s="46" t="inlineStr">
        <is>
          <t>No podemos comprobar quien lleva razón porque fábrica indica que si que se enviaron, pero no hay fotos y no se puede comprobar.</t>
        </is>
      </c>
      <c r="P354" s="101" t="n">
        <v>375</v>
      </c>
      <c r="Q354" s="102" t="n"/>
      <c r="R354" s="102" t="n"/>
      <c r="S354" s="55" t="e">
        <v>#REF!</v>
      </c>
    </row>
    <row r="355" ht="30" customHeight="1">
      <c r="A355" s="50" t="inlineStr">
        <is>
          <t>CP357</t>
        </is>
      </c>
      <c r="B355" s="50" t="inlineStr">
        <is>
          <t>CERRADA</t>
        </is>
      </c>
      <c r="C355" s="51" t="n">
        <v>45764</v>
      </c>
      <c r="D355" s="52" t="inlineStr">
        <is>
          <t>OC25-251001677</t>
        </is>
      </c>
      <c r="E355" s="53" t="n">
        <v>45747</v>
      </c>
      <c r="F355" s="52" t="n">
        <v>1060</v>
      </c>
      <c r="G355" s="50" t="inlineStr">
        <is>
          <t>OC25-251001677 - REP-CLI 1060. 00. SUTEGA ILKARI MAD</t>
        </is>
      </c>
      <c r="H355" s="50" t="inlineStr">
        <is>
          <t>SUTEGA</t>
        </is>
      </c>
      <c r="I355" s="50" t="inlineStr">
        <is>
          <t>Marc</t>
        </is>
      </c>
      <c r="J355" s="50" t="inlineStr">
        <is>
          <t>Mónica</t>
        </is>
      </c>
      <c r="K355" s="50" t="inlineStr">
        <is>
          <t>Defecto por cliente</t>
        </is>
      </c>
      <c r="L355" s="50" t="e">
        <v>#REF!</v>
      </c>
      <c r="M355" s="54" t="inlineStr">
        <is>
          <t>Revisar que se envían todos los paneles y tener cuidado a la hora de cortarlos en obra</t>
        </is>
      </c>
      <c r="N355" s="50" t="inlineStr">
        <is>
          <t>Reposición de 4 piezas (2 paneles) al cliente.</t>
        </is>
      </c>
      <c r="O355" s="47" t="inlineStr">
        <is>
          <t>El cliente informa de que le faltan 4 islas pintadas y que ha cortado unos paneles (de sobrantes, en principio) para hacer unos tacos que le faltaron.</t>
        </is>
      </c>
      <c r="P355" s="98" t="n">
        <v>314.6</v>
      </c>
      <c r="Q355" s="99" t="n"/>
      <c r="R355" s="99" t="n"/>
      <c r="S355" s="50" t="e">
        <v>#REF!</v>
      </c>
    </row>
    <row r="356" ht="30" customHeight="1">
      <c r="A356" s="55" t="inlineStr">
        <is>
          <t>CP358</t>
        </is>
      </c>
      <c r="B356" s="55" t="inlineStr">
        <is>
          <t>CERRADA</t>
        </is>
      </c>
      <c r="C356" s="56" t="n">
        <v>45764</v>
      </c>
      <c r="D356" s="57" t="inlineStr">
        <is>
          <t xml:space="preserve">OC25-251001684 </t>
        </is>
      </c>
      <c r="E356" s="58" t="n">
        <v>45736</v>
      </c>
      <c r="F356" s="57" t="inlineStr">
        <is>
          <t>OS25-251000309</t>
        </is>
      </c>
      <c r="G356" s="55" t="inlineStr">
        <is>
          <t>OC25-251001684 - REP-ERT. 251000309 - 8020108_ECONORDIK_KINNARPS_INTER_FR</t>
        </is>
      </c>
      <c r="H356" s="55" t="inlineStr">
        <is>
          <t>KINNARPS</t>
        </is>
      </c>
      <c r="I356" s="55" t="inlineStr">
        <is>
          <t>Sylvain</t>
        </is>
      </c>
      <c r="J356" s="55" t="inlineStr">
        <is>
          <t>Rashli</t>
        </is>
      </c>
      <c r="K356" s="55" t="inlineStr">
        <is>
          <t>Error técnico</t>
        </is>
      </c>
      <c r="L356" s="55" t="e">
        <v>#REF!</v>
      </c>
      <c r="M356" s="59" t="inlineStr">
        <is>
          <t xml:space="preserve">Revisar los pedidos antes de mandarlos a fabricar. </t>
        </is>
      </c>
      <c r="N356" s="55" t="inlineStr">
        <is>
          <t>Enviar los paneles en IGN</t>
        </is>
      </c>
      <c r="O356" s="46" t="inlineStr">
        <is>
          <t>El cliente pidió paneles IGN y se le envíaron NO IGN. Debemos recoger los erróneos y entregar los ok.</t>
        </is>
      </c>
      <c r="P356" s="101" t="n">
        <v>1344</v>
      </c>
      <c r="Q356" s="102" t="n"/>
      <c r="R356" s="102" t="n"/>
      <c r="S356" s="55" t="e">
        <v>#REF!</v>
      </c>
    </row>
    <row r="357" ht="30" customHeight="1">
      <c r="A357" s="50" t="inlineStr">
        <is>
          <t>CP359</t>
        </is>
      </c>
      <c r="B357" s="50" t="inlineStr">
        <is>
          <t>CERRADA</t>
        </is>
      </c>
      <c r="C357" s="51" t="n">
        <v>45771</v>
      </c>
      <c r="D357" s="52" t="inlineStr">
        <is>
          <t>OC25-251001792</t>
        </is>
      </c>
      <c r="E357" s="53" t="n">
        <v>45754</v>
      </c>
      <c r="F357" s="52" t="n">
        <v>251000330</v>
      </c>
      <c r="G357" s="50" t="inlineStr">
        <is>
          <t>OC25-251001792 REP-IT OC25-251000330 - OFICINES P250230 VLC</t>
        </is>
      </c>
      <c r="H357" s="50" t="inlineStr">
        <is>
          <t>Oficines Mobiliari</t>
        </is>
      </c>
      <c r="I357" s="50" t="inlineStr">
        <is>
          <t>Javier Hernández</t>
        </is>
      </c>
      <c r="J357" s="50" t="inlineStr">
        <is>
          <t>David</t>
        </is>
      </c>
      <c r="K357" s="50" t="inlineStr">
        <is>
          <t>Transporte</t>
        </is>
      </c>
      <c r="L357" s="50" t="e">
        <v>#REF!</v>
      </c>
      <c r="M357" s="54" t="inlineStr">
        <is>
          <t>Seguir el pedido de Greenarea para que no sea Salva el que lleve los paneles al cliente</t>
        </is>
      </c>
      <c r="N357" s="50" t="inlineStr">
        <is>
          <t>enviar los 2 otro green wall pocket 95 SIN VEGETACIÓN sin coste</t>
        </is>
      </c>
      <c r="O357" s="47" t="inlineStr">
        <is>
          <t>No sé siguió correctamente el pedido y se nos echó encima la inauguración. Se le pidió a Salva que llevara el los paneles y se golpearon</t>
        </is>
      </c>
      <c r="P357" s="98" t="n">
        <v>247.9</v>
      </c>
      <c r="Q357" s="99" t="n"/>
      <c r="R357" s="99" t="n"/>
      <c r="S357" s="50" t="e">
        <v>#REF!</v>
      </c>
    </row>
    <row r="358" ht="60" customHeight="1">
      <c r="A358" s="55" t="inlineStr">
        <is>
          <t>CP360</t>
        </is>
      </c>
      <c r="B358" s="55" t="inlineStr">
        <is>
          <t>CERRADA</t>
        </is>
      </c>
      <c r="C358" s="56" t="n">
        <v>45771</v>
      </c>
      <c r="D358" s="57" t="inlineStr">
        <is>
          <t>OC25-251001813</t>
        </is>
      </c>
      <c r="E358" s="58" t="n">
        <v>45737</v>
      </c>
      <c r="F358" s="57" t="inlineStr">
        <is>
          <t>OC25-251000575</t>
        </is>
      </c>
      <c r="G358" s="55" t="inlineStr">
        <is>
          <t>OC25-251001813 - REP-CLI OC25-251000575 - GES - 2296. 02. KTN ELECNOR RENFE VALENCIA MAD</t>
        </is>
      </c>
      <c r="H358" s="55" t="inlineStr">
        <is>
          <t>ELECNOR</t>
        </is>
      </c>
      <c r="I358" s="55" t="inlineStr">
        <is>
          <t>Marc</t>
        </is>
      </c>
      <c r="J358" s="55" t="inlineStr">
        <is>
          <t>Mónica</t>
        </is>
      </c>
      <c r="K358" s="55" t="inlineStr">
        <is>
          <t>Defecto por cliente</t>
        </is>
      </c>
      <c r="L358" s="55" t="e">
        <v>#REF!</v>
      </c>
      <c r="M358" s="59" t="inlineStr">
        <is>
          <t>Enviar las islas nuevas y recoger las defectuosas, ya que no está claro el motivo de la incidencia. El pedido constaba de muchas islas y solo se han combado 5 de ellas.</t>
        </is>
      </c>
      <c r="N358" s="55" t="inlineStr">
        <is>
          <t>Reposición de 5 islas de foam personalizadas.</t>
        </is>
      </c>
      <c r="O358" s="46" t="inlineStr">
        <is>
          <t>Se han combado 5 islas en un pedido. Se va a estudiar el motivo y a comprobar dónde se han situado los anclajes. Repuestas a coste 0</t>
        </is>
      </c>
      <c r="P358" s="101" t="n">
        <v>359.37</v>
      </c>
      <c r="Q358" s="102" t="n"/>
      <c r="R358" s="102" t="n"/>
      <c r="S358" s="55" t="e">
        <v>#REF!</v>
      </c>
    </row>
    <row r="359" ht="30" customHeight="1">
      <c r="A359" s="50" t="inlineStr">
        <is>
          <t>CP361</t>
        </is>
      </c>
      <c r="B359" s="50" t="inlineStr">
        <is>
          <t>CERRADA</t>
        </is>
      </c>
      <c r="C359" s="51" t="n">
        <v>45772</v>
      </c>
      <c r="D359" s="52" t="inlineStr">
        <is>
          <t>OC25-251001832</t>
        </is>
      </c>
      <c r="E359" s="53" t="n">
        <v>45756</v>
      </c>
      <c r="F359" s="52" t="n">
        <v>275</v>
      </c>
      <c r="G359" s="50" t="inlineStr">
        <is>
          <t>OC25-251001832 - REP-IT 275. 00. DP_BUREAUX CICOA_TOURS_RACINEA_INTER_FR</t>
        </is>
      </c>
      <c r="H359" s="50" t="inlineStr">
        <is>
          <t>CANOPEA</t>
        </is>
      </c>
      <c r="I359" s="50" t="inlineStr">
        <is>
          <t>Sylvain</t>
        </is>
      </c>
      <c r="J359" s="50" t="inlineStr">
        <is>
          <t>Rashli</t>
        </is>
      </c>
      <c r="K359" s="50" t="inlineStr">
        <is>
          <t>Transporte</t>
        </is>
      </c>
      <c r="L359" s="50" t="e">
        <v>#REF!</v>
      </c>
      <c r="M359" s="54" t="inlineStr">
        <is>
          <t>Proteger la cara superior de los paquetes y no djear cosas punzantes.</t>
        </is>
      </c>
      <c r="N359" s="50" t="inlineStr">
        <is>
          <t>Reponer el panel shapes.</t>
        </is>
      </c>
      <c r="O359" s="47" t="inlineStr">
        <is>
          <t>Los paneles llegaron con daños, como si los hubeisen presionado con algo punzante.</t>
        </is>
      </c>
      <c r="P359" s="98" t="n">
        <v>252</v>
      </c>
      <c r="Q359" s="99" t="n"/>
      <c r="R359" s="99" t="n"/>
      <c r="S359" s="50" t="e">
        <v>#REF!</v>
      </c>
    </row>
    <row r="360" ht="30" customHeight="1">
      <c r="A360" s="55" t="inlineStr">
        <is>
          <t>CP362</t>
        </is>
      </c>
      <c r="B360" s="55" t="inlineStr">
        <is>
          <t>CERRADA</t>
        </is>
      </c>
      <c r="C360" s="56" t="n">
        <v>45772</v>
      </c>
      <c r="D360" s="57" t="inlineStr">
        <is>
          <t>OC25-251001838</t>
        </is>
      </c>
      <c r="E360" s="58" t="n">
        <v>45756</v>
      </c>
      <c r="F360" s="57" t="n">
        <v>275</v>
      </c>
      <c r="G360" s="55" t="inlineStr">
        <is>
          <t>OC25-251001838 - REP-DC 275. 00. DP_BUREAUX CICOA_TOURS_RACINEA_INTER_FR</t>
        </is>
      </c>
      <c r="H360" s="55" t="inlineStr">
        <is>
          <t>CANOPEA</t>
        </is>
      </c>
      <c r="I360" s="55" t="inlineStr">
        <is>
          <t>Sylvain</t>
        </is>
      </c>
      <c r="J360" s="55" t="inlineStr">
        <is>
          <t>Rashli</t>
        </is>
      </c>
      <c r="K360" s="55" t="inlineStr">
        <is>
          <t>Defecto por cliente</t>
        </is>
      </c>
      <c r="L360" s="55" t="e">
        <v>#REF!</v>
      </c>
      <c r="M360" s="59" t="inlineStr">
        <is>
          <t>Revisar los colores solicitados y el pedido en firme.</t>
        </is>
      </c>
      <c r="N360" s="55" t="inlineStr">
        <is>
          <t>Reponer el volume.</t>
        </is>
      </c>
      <c r="O360" s="46" t="inlineStr">
        <is>
          <t>El cliente estaba esperando un panel con el ECO-108 de base, pero en el pedido solicitó el ECO-112. Se le repone a coste cero por accion comercial… y por ser el cliente que es?</t>
        </is>
      </c>
      <c r="P360" s="101" t="n">
        <v>441</v>
      </c>
      <c r="Q360" s="102" t="n"/>
      <c r="R360" s="102" t="n"/>
      <c r="S360" s="55" t="e">
        <v>#REF!</v>
      </c>
    </row>
    <row r="361" ht="30" customHeight="1">
      <c r="A361" s="50" t="inlineStr">
        <is>
          <t>CP363</t>
        </is>
      </c>
      <c r="B361" s="50" t="inlineStr">
        <is>
          <t>CERRADA</t>
        </is>
      </c>
      <c r="C361" s="51" t="n">
        <v>45772</v>
      </c>
      <c r="D361" s="52" t="inlineStr">
        <is>
          <t xml:space="preserve">OC25-251001843 </t>
        </is>
      </c>
      <c r="E361" s="53" t="n">
        <v>45771</v>
      </c>
      <c r="F361" s="52" t="inlineStr">
        <is>
          <t>OC25-251001402</t>
        </is>
      </c>
      <c r="G361" s="50" t="inlineStr">
        <is>
          <t>OC25-251001843 - REP-CLI OC25-251001402 - ALBEA OFFICE WORLD ECOWORKING ARA</t>
        </is>
      </c>
      <c r="H361" s="50" t="inlineStr">
        <is>
          <t>ALBEA</t>
        </is>
      </c>
      <c r="I361" s="50" t="inlineStr">
        <is>
          <t xml:space="preserve">Manel </t>
        </is>
      </c>
      <c r="J361" s="50" t="inlineStr">
        <is>
          <t>Pablo</t>
        </is>
      </c>
      <c r="K361" s="50" t="inlineStr">
        <is>
          <t>Defecto por cliente</t>
        </is>
      </c>
      <c r="L361" s="50" t="e">
        <v>#REF!</v>
      </c>
      <c r="M361" s="54" t="inlineStr">
        <is>
          <t xml:space="preserve">Revisar el hilo del correo y verificar la comanda errónea del cliente </t>
        </is>
      </c>
      <c r="N361" s="50" t="inlineStr">
        <is>
          <t>Reponer los 6 anclajes S y recoger los 6 anclajes M</t>
        </is>
      </c>
      <c r="O361" s="47" t="inlineStr">
        <is>
          <t xml:space="preserve">El cliente solicito anclajes de mesa para ECOworking y se le enviaron anclajes M (Quería anclajes S). Mismo precio. Manel se encarga de recoger los anclajes M. </t>
        </is>
      </c>
      <c r="P361" s="98" t="n">
        <v>0</v>
      </c>
      <c r="Q361" s="99" t="n"/>
      <c r="R361" s="99" t="n"/>
      <c r="S361" s="50" t="e">
        <v>#REF!</v>
      </c>
    </row>
    <row r="362" ht="30" customHeight="1">
      <c r="A362" s="55" t="inlineStr">
        <is>
          <t>CP364</t>
        </is>
      </c>
      <c r="B362" s="55" t="inlineStr">
        <is>
          <t>CERRADA</t>
        </is>
      </c>
      <c r="C362" s="56" t="n">
        <v>45784</v>
      </c>
      <c r="D362" s="57" t="inlineStr">
        <is>
          <t>OC25-251002050</t>
        </is>
      </c>
      <c r="E362" s="58" t="n">
        <v>45770</v>
      </c>
      <c r="F362" s="57" t="inlineStr">
        <is>
          <t>OC25-251000592</t>
        </is>
      </c>
      <c r="G362" s="55" t="inlineStr">
        <is>
          <t>OC25-251002050- REP-CAD- OC25-251000592 EUROMOF PED 3369124 MAD</t>
        </is>
      </c>
      <c r="H362" s="55" t="inlineStr">
        <is>
          <t>EUROMOF</t>
        </is>
      </c>
      <c r="I362" s="55" t="inlineStr">
        <is>
          <t>ricardo</t>
        </is>
      </c>
      <c r="J362" s="55" t="inlineStr">
        <is>
          <t>Ángela</t>
        </is>
      </c>
      <c r="K362" s="55" t="inlineStr">
        <is>
          <t>Error CAD</t>
        </is>
      </c>
      <c r="L362" s="55" t="e">
        <v>#REF!</v>
      </c>
      <c r="M362" s="59" t="inlineStr">
        <is>
          <t>revisar bien medidas cad. Se puso un archivo de medida estándar y era otro</t>
        </is>
      </c>
      <c r="N362" s="55" t="inlineStr">
        <is>
          <t>Recoger los 3ECOworking enviados para poder venderlos y enviar con la medida correcta</t>
        </is>
      </c>
      <c r="O362" s="46" t="inlineStr">
        <is>
          <t>Tenían dos pedidos iguales de las mismas unidades, pero cambiaba medida del ECOworking, y se mantuvo igual en ambos</t>
        </is>
      </c>
      <c r="P362" s="101" t="n">
        <v>128</v>
      </c>
      <c r="Q362" s="102" t="n"/>
      <c r="R362" s="102" t="n"/>
      <c r="S362" s="55" t="e">
        <v>#REF!</v>
      </c>
    </row>
    <row r="363" ht="30" customHeight="1">
      <c r="A363" s="50" t="inlineStr">
        <is>
          <t>CP365</t>
        </is>
      </c>
      <c r="B363" s="50" t="inlineStr">
        <is>
          <t>CERRADA</t>
        </is>
      </c>
      <c r="C363" s="51" t="n">
        <v>45786</v>
      </c>
      <c r="D363" s="52" t="inlineStr">
        <is>
          <t>OC25-251002156</t>
        </is>
      </c>
      <c r="E363" s="53" t="n">
        <v>45771</v>
      </c>
      <c r="F363" s="52" t="inlineStr">
        <is>
          <t>OC25-251000559</t>
        </is>
      </c>
      <c r="G363" s="50" t="inlineStr">
        <is>
          <t>OC25-251002156 - REP-IT 251000559 Hotel Arcachon_RESO OUEST_MEET_INTER_FR</t>
        </is>
      </c>
      <c r="H363" s="50" t="inlineStr">
        <is>
          <t>RESO OUEST</t>
        </is>
      </c>
      <c r="I363" s="50" t="inlineStr">
        <is>
          <t>Sylvain</t>
        </is>
      </c>
      <c r="J363" s="50" t="inlineStr">
        <is>
          <t>Rashli</t>
        </is>
      </c>
      <c r="K363" s="50" t="inlineStr">
        <is>
          <t>Transporte</t>
        </is>
      </c>
      <c r="L363" s="50" t="e">
        <v>#REF!</v>
      </c>
      <c r="M363" s="54" t="inlineStr">
        <is>
          <t>Hacer seguimiento exhaustivo de los pquetes.</t>
        </is>
      </c>
      <c r="N363" s="50" t="inlineStr">
        <is>
          <t>Reponer el paquete perdido.</t>
        </is>
      </c>
      <c r="O363" s="47" t="inlineStr">
        <is>
          <t>El pedido se mando en dos envíos y la emrpesa de transporte perdió el paquete compelto del segundo envío, el cual llevaba puros mEET.</t>
        </is>
      </c>
      <c r="P363" s="98" t="n">
        <v>3522.75</v>
      </c>
      <c r="Q363" s="99" t="n"/>
      <c r="R363" s="99" t="n"/>
      <c r="S363" s="50" t="e">
        <v>#REF!</v>
      </c>
    </row>
    <row r="364" ht="45" customHeight="1">
      <c r="A364" s="55" t="inlineStr">
        <is>
          <t>CP366</t>
        </is>
      </c>
      <c r="B364" s="55" t="inlineStr">
        <is>
          <t>CERRADA</t>
        </is>
      </c>
      <c r="C364" s="56" t="n">
        <v>45789</v>
      </c>
      <c r="D364" s="57" t="inlineStr">
        <is>
          <t>OC25-251002184</t>
        </is>
      </c>
      <c r="E364" s="58" t="n">
        <v>45776</v>
      </c>
      <c r="F364" s="57" t="inlineStr">
        <is>
          <t>OC25-251000510</t>
        </is>
      </c>
      <c r="G364" s="55" t="inlineStr">
        <is>
          <t>OC25-251002184 REP-ERT OC25-251000510 CORA ARQUITECTURA AV MANOTERAS MAD</t>
        </is>
      </c>
      <c r="I364" s="55" t="inlineStr">
        <is>
          <t>Juanjo</t>
        </is>
      </c>
      <c r="J364" s="55" t="inlineStr">
        <is>
          <t>Belén</t>
        </is>
      </c>
      <c r="K364" s="55" t="inlineStr">
        <is>
          <t>Error técnico</t>
        </is>
      </c>
      <c r="L364" s="55" t="e">
        <v>#REF!</v>
      </c>
      <c r="M364" s="59" t="inlineStr">
        <is>
          <t>Revisar la última actualización del presupuesto</t>
        </is>
      </c>
      <c r="N364" s="55" t="inlineStr">
        <is>
          <t>Reponer el panel que falta</t>
        </is>
      </c>
      <c r="O364" s="46" t="inlineStr">
        <is>
          <t>en un primer presupuesto había 1ud ew211 y 1ud ew212. luego pasaron a 2ud ew211 y luego otra vez a 1ud ew211 y 1ud ew212. Finalmente se quedarón con 2ud ew211 y pensé que era la ultima actualización que había en el SAP</t>
        </is>
      </c>
      <c r="P364" s="101" t="n">
        <v>271.04</v>
      </c>
      <c r="Q364" s="102" t="n"/>
      <c r="R364" s="102" t="n"/>
      <c r="S364" s="55" t="e">
        <v>#REF!</v>
      </c>
    </row>
    <row r="365" ht="30" customHeight="1">
      <c r="A365" s="50" t="inlineStr">
        <is>
          <t>CP367</t>
        </is>
      </c>
      <c r="B365" s="50" t="inlineStr">
        <is>
          <t>CERRADA</t>
        </is>
      </c>
      <c r="C365" s="51" t="n">
        <v>45791</v>
      </c>
      <c r="D365" s="52" t="n">
        <v>420</v>
      </c>
      <c r="E365" s="53" t="n">
        <v>45775</v>
      </c>
      <c r="F365" s="52" t="n">
        <v>277</v>
      </c>
      <c r="G365" s="50" t="inlineStr">
        <is>
          <t>420. 00. REP-COM MOON DREAMS ECONORDIK COLOR AND</t>
        </is>
      </c>
      <c r="H365" s="50" t="inlineStr">
        <is>
          <t>moon dreama</t>
        </is>
      </c>
      <c r="I365" s="50" t="inlineStr">
        <is>
          <t>Jorge Blanco</t>
        </is>
      </c>
      <c r="J365" s="50" t="inlineStr">
        <is>
          <t>Belén</t>
        </is>
      </c>
      <c r="K365" s="50" t="inlineStr">
        <is>
          <t>Defecto por comercial</t>
        </is>
      </c>
      <c r="L365" s="50" t="e">
        <v>#REF!</v>
      </c>
      <c r="M365" s="54" t="inlineStr">
        <is>
          <t>Reponer los 6 econordiks en el color correcto</t>
        </is>
      </c>
      <c r="N365" s="50" t="inlineStr">
        <is>
          <t>reponer los 6 econordiks en el color eco-124</t>
        </is>
      </c>
      <c r="O365" s="47" t="inlineStr">
        <is>
          <t>a jorge blanco se le olvido comunicar que pasaban de eco-140 a eco-124</t>
        </is>
      </c>
      <c r="P365" s="98" t="n">
        <v>1270.5</v>
      </c>
      <c r="Q365" s="99" t="n"/>
      <c r="R365" s="99" t="n"/>
      <c r="S365" s="50" t="e">
        <v>#REF!</v>
      </c>
    </row>
    <row r="366" ht="30" customHeight="1">
      <c r="A366" s="55" t="inlineStr">
        <is>
          <t>CP368</t>
        </is>
      </c>
      <c r="B366" s="55" t="inlineStr">
        <is>
          <t>CERRADA</t>
        </is>
      </c>
      <c r="C366" s="56" t="n">
        <v>45791</v>
      </c>
      <c r="D366" s="57" t="n">
        <v>312</v>
      </c>
      <c r="E366" s="58" t="n">
        <v>45720</v>
      </c>
      <c r="F366" s="57" t="inlineStr">
        <is>
          <t>OC25-251002295</t>
        </is>
      </c>
      <c r="G366" s="55" t="inlineStr">
        <is>
          <t>OC25-251002295 - REP-ERT 312. 00. BE88 IGLESIA VCUT PV</t>
        </is>
      </c>
      <c r="H366" s="55" t="inlineStr">
        <is>
          <t>BE 88</t>
        </is>
      </c>
      <c r="I366" s="55" t="inlineStr">
        <is>
          <t>Jon Rioboo</t>
        </is>
      </c>
      <c r="J366" s="55" t="inlineStr">
        <is>
          <t>Rashli</t>
        </is>
      </c>
      <c r="K366" s="55" t="inlineStr">
        <is>
          <t>Error Trello técnico</t>
        </is>
      </c>
      <c r="L366" s="55" t="e">
        <v>#REF!</v>
      </c>
      <c r="M366" s="59" t="inlineStr">
        <is>
          <t>Recolocar el despiece para comprobar que las piezas cuadran</t>
        </is>
      </c>
      <c r="N366" s="55" t="inlineStr">
        <is>
          <t>Reponer un panel VCUT</t>
        </is>
      </c>
      <c r="O366" s="46" t="inlineStr">
        <is>
          <t>al instalar los paneles se dieron cuenta de que el diseño no era continuo, por lo que hay que hacer nuevamente la pieza del final.</t>
        </is>
      </c>
      <c r="P366" s="101" t="n">
        <v>232.32</v>
      </c>
      <c r="Q366" s="102" t="n"/>
      <c r="R366" s="102" t="n"/>
      <c r="S366" s="55" t="e">
        <v>#REF!</v>
      </c>
    </row>
    <row r="367" ht="30" customHeight="1">
      <c r="A367" s="50" t="inlineStr">
        <is>
          <t>CP369</t>
        </is>
      </c>
      <c r="B367" s="50" t="inlineStr">
        <is>
          <t>CERRADA</t>
        </is>
      </c>
      <c r="C367" s="51" t="n">
        <v>45797</v>
      </c>
      <c r="D367" s="52" t="inlineStr">
        <is>
          <t>OC25-251002384</t>
        </is>
      </c>
      <c r="E367" s="53" t="n">
        <v>45772</v>
      </c>
      <c r="F367" s="52" t="inlineStr">
        <is>
          <t>OC25-251001273</t>
        </is>
      </c>
      <c r="G367" s="50" t="inlineStr">
        <is>
          <t>OC25-251002384 - REP-COM OC25-251001273 - ROSS INTERIORISMO SALA REHAB AND</t>
        </is>
      </c>
      <c r="H367" s="50" t="n"/>
      <c r="I367" s="50" t="inlineStr">
        <is>
          <t>Israel</t>
        </is>
      </c>
      <c r="J367" s="50" t="inlineStr">
        <is>
          <t>Emilio</t>
        </is>
      </c>
      <c r="K367" s="50" t="inlineStr">
        <is>
          <t>Defecto por comercial</t>
        </is>
      </c>
      <c r="L367" s="50" t="e">
        <v>#REF!</v>
      </c>
      <c r="M367" s="54" t="inlineStr">
        <is>
          <t>Revisión y envío de correos en caso de haber actualizaciones en el pedido</t>
        </is>
      </c>
      <c r="N367" s="50" t="inlineStr">
        <is>
          <t>Reposición de Logotipo a coste 0</t>
        </is>
      </c>
      <c r="O367" s="47" t="inlineStr">
        <is>
          <t>Se realizó una modificación del color por parte del cliente que se trasmite al comercial (Israel), esta modificación no se transmitió al técnico, por lo que el panel se envio en un color que no era.</t>
        </is>
      </c>
      <c r="P367" s="98" t="n">
        <v>385.2</v>
      </c>
      <c r="Q367" s="99" t="n"/>
      <c r="R367" s="99" t="n"/>
      <c r="S367" s="50" t="e">
        <v>#REF!</v>
      </c>
    </row>
    <row r="368" ht="45" customHeight="1">
      <c r="A368" s="55" t="inlineStr">
        <is>
          <t>CP370</t>
        </is>
      </c>
      <c r="B368" s="55" t="inlineStr">
        <is>
          <t>CERRADA</t>
        </is>
      </c>
      <c r="C368" s="56" t="n">
        <v>45798</v>
      </c>
      <c r="D368" s="57" t="inlineStr">
        <is>
          <t>OC25-251002426</t>
        </is>
      </c>
      <c r="E368" s="58" t="n"/>
      <c r="F368" s="57" t="inlineStr">
        <is>
          <t>OC25-251001744</t>
        </is>
      </c>
      <c r="G368" s="55" t="inlineStr">
        <is>
          <t>OC25-251002426 - REP-IT. OC25-251001744 - AMPL 925. 00. CORNERSTONE RESEARCH_FORMA_ECOWALL_INTER_BE</t>
        </is>
      </c>
      <c r="H368" s="55" t="inlineStr">
        <is>
          <t>Forma</t>
        </is>
      </c>
      <c r="I368" s="55" t="inlineStr">
        <is>
          <t>Daniel</t>
        </is>
      </c>
      <c r="J368" s="55" t="inlineStr">
        <is>
          <t>Luis</t>
        </is>
      </c>
      <c r="K368" s="55" t="inlineStr">
        <is>
          <t>Transporte</t>
        </is>
      </c>
      <c r="L368" s="55" t="e">
        <v>#REF!</v>
      </c>
      <c r="M368" s="59" t="inlineStr">
        <is>
          <t>Reforzar el empaquetado de los bultos pequeños</t>
        </is>
      </c>
      <c r="N368" s="55" t="inlineStr">
        <is>
          <t>Reposicion al cliente</t>
        </is>
      </c>
      <c r="O368" s="46" t="inlineStr">
        <is>
          <t>Han llegado los paneles dañados</t>
        </is>
      </c>
      <c r="P368" s="101" t="n">
        <v>588</v>
      </c>
      <c r="Q368" s="102" t="n"/>
      <c r="R368" s="102" t="n"/>
      <c r="S368" s="55" t="e">
        <v>#REF!</v>
      </c>
    </row>
    <row r="369" ht="45" customHeight="1">
      <c r="A369" s="50" t="inlineStr">
        <is>
          <t>CP371</t>
        </is>
      </c>
      <c r="B369" s="50" t="inlineStr">
        <is>
          <t>CERRADA</t>
        </is>
      </c>
      <c r="C369" s="51" t="n">
        <v>45800</v>
      </c>
      <c r="D369" s="52" t="inlineStr">
        <is>
          <t>OC25-251002518</t>
        </is>
      </c>
      <c r="E369" s="53" t="n"/>
      <c r="F369" s="52" t="inlineStr">
        <is>
          <t>OC25-251001085</t>
        </is>
      </c>
      <c r="G369" s="50" t="inlineStr">
        <is>
          <t>OC25-251002518 - REP-ERF. OC25-251001085 - 1612. 02. AMPL P1 HQ AAREON_BIG C_INTER_GER</t>
        </is>
      </c>
      <c r="H369" s="50" t="inlineStr">
        <is>
          <t>Aareon</t>
        </is>
      </c>
      <c r="I369" s="50" t="inlineStr">
        <is>
          <t>Ivan</t>
        </is>
      </c>
      <c r="J369" s="50" t="inlineStr">
        <is>
          <t>Luis</t>
        </is>
      </c>
      <c r="K369" s="50" t="inlineStr">
        <is>
          <t>Fabricación</t>
        </is>
      </c>
      <c r="L369" s="50" t="e">
        <v>#REF!</v>
      </c>
      <c r="M369" s="54" t="inlineStr">
        <is>
          <t xml:space="preserve">Pegar todos los paneles volume del mismo sentido. </t>
        </is>
      </c>
      <c r="N369" s="50" t="inlineStr">
        <is>
          <t>Repetir panel volume mal pegado</t>
        </is>
      </c>
      <c r="O369" s="47" t="inlineStr">
        <is>
          <t>Se ha pegado mal un panel volume</t>
        </is>
      </c>
      <c r="P369" s="98" t="n">
        <v>551.25</v>
      </c>
      <c r="Q369" s="99" t="n"/>
      <c r="R369" s="99" t="n"/>
      <c r="S369" s="50" t="e">
        <v>#REF!</v>
      </c>
    </row>
    <row r="370" ht="75" customHeight="1">
      <c r="A370" s="55" t="inlineStr">
        <is>
          <t>CP372</t>
        </is>
      </c>
      <c r="B370" s="55" t="inlineStr">
        <is>
          <t>CERRADA</t>
        </is>
      </c>
      <c r="C370" s="56" t="n">
        <v>45800</v>
      </c>
      <c r="D370" s="57" t="inlineStr">
        <is>
          <t>OC25-251002508</t>
        </is>
      </c>
      <c r="E370" s="58" t="n">
        <v>45770</v>
      </c>
      <c r="F370" s="57" t="inlineStr">
        <is>
          <t>OC25-251000805</t>
        </is>
      </c>
      <c r="G370" s="55" t="inlineStr">
        <is>
          <t>OC25-251002508 - REP-CLI OC25-251000805 - ALUINTER VCUT 90.019-2 CJ CAT</t>
        </is>
      </c>
      <c r="I370" s="55" t="inlineStr">
        <is>
          <t>Manel</t>
        </is>
      </c>
      <c r="J370" s="55" t="inlineStr">
        <is>
          <t>Pablo</t>
        </is>
      </c>
      <c r="K370" s="55" t="inlineStr">
        <is>
          <t>Defecto por cliente</t>
        </is>
      </c>
      <c r="L370" s="55" t="e">
        <v>#REF!</v>
      </c>
      <c r="M370" s="59" t="inlineStr">
        <is>
          <t>Pedir de nuevo las piezas que montaron mal con las mismas medidas</t>
        </is>
      </c>
      <c r="N370" s="55" t="inlineStr">
        <is>
          <t xml:space="preserve">Fabricar de nuevo las piezas </t>
        </is>
      </c>
      <c r="O370" s="46" t="inlineStr">
        <is>
          <t xml:space="preserve">Ver con Pablo: El cliente acepto un pedido de V-Cut que recibió con un dibujo diferente al solicitado. Por otra parte luego en el montaje de estos los cortaron mal y han pedido repetir algunas de esas piezas con las mismas medidas y diseño. Pablo se equivoco incialmente,... como ya hubo una equivocacion previa y el cliente termino aceptando "el fallo" cuando luego instalo algunas piezas, nos reclamo a cambio de haber aceptado el primer fallo de diseño la reposicion a coste cero. </t>
        </is>
      </c>
      <c r="P370" s="101" t="n">
        <v>987.8</v>
      </c>
      <c r="Q370" s="102" t="n"/>
      <c r="R370" s="102" t="n"/>
      <c r="S370" s="55" t="e">
        <v>#REF!</v>
      </c>
    </row>
    <row r="371" ht="45" customHeight="1">
      <c r="A371" s="50" t="inlineStr">
        <is>
          <t>CP373</t>
        </is>
      </c>
      <c r="B371" s="50" t="inlineStr">
        <is>
          <t>CERRADA</t>
        </is>
      </c>
      <c r="C371" s="51" t="n">
        <v>45803</v>
      </c>
      <c r="D371" s="52" t="inlineStr">
        <is>
          <t>OC25-251002567</t>
        </is>
      </c>
      <c r="E371" s="53" t="n">
        <v>45750</v>
      </c>
      <c r="F371" s="52" t="inlineStr">
        <is>
          <t>OC25-251000921</t>
        </is>
      </c>
      <c r="G371" s="50" t="inlineStr">
        <is>
          <t>OC25-251002567 - REP-ERT OC25-251000921 - 795. 00. TEQUIPA 24203 ACONDICIONAMIENTO OFICINA LP</t>
        </is>
      </c>
      <c r="H371" s="50" t="inlineStr">
        <is>
          <t>TEQUIPA</t>
        </is>
      </c>
      <c r="I371" s="50" t="inlineStr">
        <is>
          <t>Iker</t>
        </is>
      </c>
      <c r="J371" s="50" t="inlineStr">
        <is>
          <t>Rashli</t>
        </is>
      </c>
      <c r="K371" s="50" t="inlineStr">
        <is>
          <t>Error Trello técnico</t>
        </is>
      </c>
      <c r="L371" s="50" t="e">
        <v>#REF!</v>
      </c>
      <c r="M371" s="54" t="inlineStr">
        <is>
          <t>Revisar con detalle el archivo de corte y compararlo con el archivo original de la carpeta de archivos de corte</t>
        </is>
      </c>
      <c r="N371" s="50" t="inlineStr">
        <is>
          <t>Enviar las tiras que no están bien dibujadas</t>
        </is>
      </c>
      <c r="O371" s="47" t="inlineStr">
        <is>
          <t>Se mandaron unos molding con todas la tiras del mismo diseño por lo que no encajaban en todo el panel.</t>
        </is>
      </c>
      <c r="P371" s="98" t="n">
        <v>407.5</v>
      </c>
      <c r="Q371" s="99" t="n"/>
      <c r="R371" s="99" t="n"/>
      <c r="S371" s="50" t="e">
        <v>#REF!</v>
      </c>
    </row>
    <row r="372" ht="30" customHeight="1">
      <c r="A372" s="55" t="inlineStr">
        <is>
          <t>CP374</t>
        </is>
      </c>
      <c r="B372" s="55" t="inlineStr">
        <is>
          <t>CERRADA</t>
        </is>
      </c>
      <c r="C372" s="56" t="n">
        <v>45804</v>
      </c>
      <c r="D372" s="57" t="inlineStr">
        <is>
          <t>OC25-251002628</t>
        </is>
      </c>
      <c r="E372" s="58" t="n"/>
      <c r="F372" s="57" t="inlineStr">
        <is>
          <t>OC25-251001947</t>
        </is>
      </c>
      <c r="G372" s="55" t="inlineStr">
        <is>
          <t>OC25-251002628 - REP-MP. OC25-251001947 - OLE LIGHTING CELESTE CV</t>
        </is>
      </c>
      <c r="H372" s="55" t="inlineStr">
        <is>
          <t>OLE LIGHTING</t>
        </is>
      </c>
      <c r="I372" s="55" t="inlineStr">
        <is>
          <t>-</t>
        </is>
      </c>
      <c r="J372" s="55" t="inlineStr">
        <is>
          <t>Luis</t>
        </is>
      </c>
      <c r="K372" s="55" t="inlineStr">
        <is>
          <t>Defecto Materia Prima</t>
        </is>
      </c>
      <c r="L372" s="55" t="e">
        <v>#REF!</v>
      </c>
      <c r="M372" s="59" t="inlineStr">
        <is>
          <t>Revisar los paneles antes de cortarlos para comprobar que no hay manchas</t>
        </is>
      </c>
      <c r="N372" s="55" t="inlineStr">
        <is>
          <t>Reponer una pieza manchada</t>
        </is>
      </c>
      <c r="O372" s="46" t="inlineStr">
        <is>
          <t>Se ha enviado un panel con una mancha.</t>
        </is>
      </c>
      <c r="P372" s="101" t="n">
        <v>105</v>
      </c>
      <c r="Q372" s="102" t="n"/>
      <c r="R372" s="102" t="n"/>
      <c r="S372" s="55" t="e">
        <v>#REF!</v>
      </c>
    </row>
    <row r="373" ht="45" customHeight="1">
      <c r="A373" s="50" t="inlineStr">
        <is>
          <t>CP375</t>
        </is>
      </c>
      <c r="B373" s="50" t="inlineStr">
        <is>
          <t>CERRADA</t>
        </is>
      </c>
      <c r="C373" s="51" t="n">
        <v>45810</v>
      </c>
      <c r="D373" s="52" t="inlineStr">
        <is>
          <t>OC25-251002766</t>
        </is>
      </c>
      <c r="E373" s="53" t="n"/>
      <c r="F373" s="52" t="inlineStr">
        <is>
          <t>OC25-251001935</t>
        </is>
      </c>
      <c r="G373" s="50" t="inlineStr">
        <is>
          <t>OC25-251002766 - REP-MP. OC25-251001935 - BPM PRESUPUESTO 250.0513 ECObasic panel 12mm CV</t>
        </is>
      </c>
      <c r="H373" s="50" t="inlineStr">
        <is>
          <t xml:space="preserve">BPM </t>
        </is>
      </c>
      <c r="I373" s="50" t="inlineStr">
        <is>
          <t>-</t>
        </is>
      </c>
      <c r="J373" s="50" t="inlineStr">
        <is>
          <t>Luis</t>
        </is>
      </c>
      <c r="K373" s="50" t="inlineStr">
        <is>
          <t>Defecto Materia Prima</t>
        </is>
      </c>
      <c r="L373" s="50" t="e">
        <v>#REF!</v>
      </c>
      <c r="M373" s="54" t="inlineStr">
        <is>
          <t>Revisar los paneles antes de cortarlos para comprobar que no hay manchas</t>
        </is>
      </c>
      <c r="N373" s="50" t="inlineStr">
        <is>
          <t>Reponer una pieza manchada</t>
        </is>
      </c>
      <c r="O373" s="47" t="inlineStr">
        <is>
          <t>Se ha enviado un panel con una mancha.</t>
        </is>
      </c>
      <c r="P373" s="98" t="n">
        <v>100</v>
      </c>
      <c r="Q373" s="99" t="n"/>
      <c r="R373" s="99" t="n"/>
      <c r="S373" s="50" t="e">
        <v>#REF!</v>
      </c>
    </row>
    <row r="374" ht="60" customHeight="1">
      <c r="A374" s="55" t="inlineStr">
        <is>
          <t>CP376</t>
        </is>
      </c>
      <c r="B374" s="55" t="inlineStr">
        <is>
          <t>CERRADA</t>
        </is>
      </c>
      <c r="C374" s="56" t="n">
        <v>45812</v>
      </c>
      <c r="D374" s="57" t="inlineStr">
        <is>
          <t>OC25-251002839</t>
        </is>
      </c>
      <c r="E374" s="58" t="n">
        <v>45797</v>
      </c>
      <c r="F374" s="57" t="inlineStr">
        <is>
          <t>OC25-251001981</t>
        </is>
      </c>
      <c r="G374" s="55" t="inlineStr">
        <is>
          <t>OC25-251002839 - REP-COM OC25-251001981 - INSITU AMPL UTOPICUS TRAVESSERA PLANTA 1 CAT</t>
        </is>
      </c>
      <c r="I374" s="55" t="inlineStr">
        <is>
          <t>Manel</t>
        </is>
      </c>
      <c r="J374" s="55" t="inlineStr">
        <is>
          <t>Mónica</t>
        </is>
      </c>
      <c r="K374" s="55" t="inlineStr">
        <is>
          <t>Defecto por comercial</t>
        </is>
      </c>
      <c r="L374" s="55" t="e">
        <v>#REF!</v>
      </c>
      <c r="M374" s="59" t="inlineStr">
        <is>
          <t>Comprobar todos los pedidos previos a la ampliación.</t>
        </is>
      </c>
      <c r="N374" s="55" t="inlineStr">
        <is>
          <t>Reposición al cliente</t>
        </is>
      </c>
      <c r="O374" s="46" t="inlineStr">
        <is>
          <t>Manel miró una confirmación de un pedido correspondiente a un proyecto distinto y se transmitió la información errónea, medidas erroneas… . Se pidieron baffles a 180 mm de alto cuando debían ser a 200 mm. Al recibirlos el cliente, estaban mal por dimensiones al haberse fijado en una confirmacion de un proyecto diferente.</t>
        </is>
      </c>
      <c r="P374" s="101" t="n">
        <v>1897.76</v>
      </c>
      <c r="Q374" s="102" t="n"/>
      <c r="R374" s="102" t="n"/>
      <c r="S374" s="55" t="e">
        <v>#REF!</v>
      </c>
    </row>
    <row r="375" ht="30" customHeight="1">
      <c r="A375" s="50" t="inlineStr">
        <is>
          <t>CP377</t>
        </is>
      </c>
      <c r="B375" s="50" t="inlineStr">
        <is>
          <t>CERRADA</t>
        </is>
      </c>
      <c r="C375" s="51" t="n">
        <v>45813</v>
      </c>
      <c r="D375" s="52" t="inlineStr">
        <is>
          <t>OC25-251002917</t>
        </is>
      </c>
      <c r="E375" s="53" t="n">
        <v>45807</v>
      </c>
      <c r="F375" s="52" t="inlineStr">
        <is>
          <t>OC25-251001908</t>
        </is>
      </c>
      <c r="G375" s="50" t="inlineStr">
        <is>
          <t>OC25-251002917 - REP-MP  OC25-251001908 SQUARE MUR</t>
        </is>
      </c>
      <c r="H375" s="50" t="n"/>
      <c r="I375" s="50" t="inlineStr">
        <is>
          <t>Jorge Candela</t>
        </is>
      </c>
      <c r="J375" s="50" t="inlineStr">
        <is>
          <t>David</t>
        </is>
      </c>
      <c r="K375" s="50" t="inlineStr">
        <is>
          <t>Defecto Materia Prima</t>
        </is>
      </c>
      <c r="L375" s="50" t="e">
        <v>#REF!</v>
      </c>
      <c r="M375" s="54" t="inlineStr">
        <is>
          <t>Reposición al cliente</t>
        </is>
      </c>
      <c r="N375" s="50" t="inlineStr">
        <is>
          <t>Enviar 12 uds para sustituir las defectuosas+Adhesivos correspondientes (4)</t>
        </is>
      </c>
      <c r="O375" s="47" t="inlineStr">
        <is>
          <t>Llegaron 12 uds defectuosas con diferente espesor del solicitado (24mm)</t>
        </is>
      </c>
      <c r="P375" s="98" t="n">
        <v>730.4</v>
      </c>
      <c r="Q375" s="99" t="n"/>
      <c r="R375" s="99" t="n"/>
      <c r="S375" s="50" t="e">
        <v>#REF!</v>
      </c>
    </row>
    <row r="376" ht="180" customHeight="1">
      <c r="A376" s="55" t="inlineStr">
        <is>
          <t>CP378</t>
        </is>
      </c>
      <c r="B376" s="55" t="inlineStr">
        <is>
          <t>CERRADA</t>
        </is>
      </c>
      <c r="C376" s="56" t="n">
        <v>45818</v>
      </c>
      <c r="D376" s="57" t="inlineStr">
        <is>
          <t>OC25-251003020</t>
        </is>
      </c>
      <c r="E376" s="58" t="n">
        <v>45779</v>
      </c>
      <c r="F376" s="57" t="inlineStr">
        <is>
          <t>OC25-251001281</t>
        </is>
      </c>
      <c r="G376" s="55" t="inlineStr">
        <is>
          <t>OC25-251003020 - REP-CLI OC25-251001281 - INDEKO P00179 OFICINA BCN CAT</t>
        </is>
      </c>
      <c r="I376" s="55" t="inlineStr">
        <is>
          <t>Manel</t>
        </is>
      </c>
      <c r="J376" s="55" t="inlineStr">
        <is>
          <t>Pablo</t>
        </is>
      </c>
      <c r="K376" s="55" t="inlineStr">
        <is>
          <t>Defecto por cliente</t>
        </is>
      </c>
      <c r="L376" s="55" t="e">
        <v>#REF!</v>
      </c>
      <c r="M376" s="59" t="inlineStr">
        <is>
          <t>Revisar las imágenes del cliente para combrobar el cambio de tono</t>
        </is>
      </c>
      <c r="N376" s="55" t="inlineStr">
        <is>
          <t>Reponer las 3 piezas</t>
        </is>
      </c>
      <c r="O376" s="46" t="inlineStr">
        <is>
          <t>El cliente no sabia como instalar los paneles. Eran islas de 24mm. Instalo las piezas sin tener en cuenta las caras... al instalarlas , algunas piezas tenian otro tono, debido a que hay algo de diferencia entre caras. Una vez instalados les dijimos que desinstalaran y les dieran la vuelta para tener el mismo tono. (Todos los paneles son del mismo tono debido a que solo existe 1 lote) Ademas instalaron islas de 1,2*1,2 cuando querian piezas de 2,4x1,2 viendose una junta fea... - Una vez girados los paneles para igualar tono, se dejan 3 paneles...  estos 3 no se podian girar y volver a instalar por que estaban mecanizados. 
A parte de esto, no han utilizado las plantillas para la posicion de anclajes, posicionandolos en los extremos. (Actualmente no hay problema, pero a futuro puede darlos por flecha / pandeo en panel ) 
No han utilizado consejos, soporte, ni instrucciones de montaje ECOcero. 
Por accion comercial, via Manel y ser pocos paneles, se reponen.</t>
        </is>
      </c>
      <c r="P376" s="101" t="n">
        <v>163.35</v>
      </c>
      <c r="Q376" s="102" t="n"/>
      <c r="R376" s="102" t="n"/>
      <c r="S376" s="55" t="e">
        <v>#REF!</v>
      </c>
    </row>
    <row r="377" ht="60" customHeight="1">
      <c r="A377" s="50" t="inlineStr">
        <is>
          <t>CP379</t>
        </is>
      </c>
      <c r="B377" s="50" t="inlineStr">
        <is>
          <t>CERRADA</t>
        </is>
      </c>
      <c r="C377" s="51" t="n">
        <v>45821</v>
      </c>
      <c r="D377" s="52" t="inlineStr">
        <is>
          <t>OC25-251003124</t>
        </is>
      </c>
      <c r="E377" s="53" t="n"/>
      <c r="F377" s="52" t="inlineStr">
        <is>
          <t>OC25-251002426</t>
        </is>
      </c>
      <c r="G377" s="50" t="inlineStr">
        <is>
          <t>OC25-251003124 - REP-IT. OC25-251002426 - REP-IT. OC25-251001744 - AMPL 925. 00. CORNERSTONE RESEARCH_FORMA_ECOWALL_INTER_BE</t>
        </is>
      </c>
      <c r="H377" s="50" t="inlineStr">
        <is>
          <t>Forma</t>
        </is>
      </c>
      <c r="I377" s="50" t="inlineStr">
        <is>
          <t>Daniel</t>
        </is>
      </c>
      <c r="J377" s="50" t="inlineStr">
        <is>
          <t>Luis</t>
        </is>
      </c>
      <c r="K377" s="50" t="inlineStr">
        <is>
          <t>Transporte</t>
        </is>
      </c>
      <c r="L377" s="50" t="e">
        <v>#REF!</v>
      </c>
      <c r="M377" s="54" t="inlineStr">
        <is>
          <t>Reforzar el empaquetado</t>
        </is>
      </c>
      <c r="N377" s="50" t="inlineStr">
        <is>
          <t>Reponer 2 paneles</t>
        </is>
      </c>
      <c r="O377" s="47" t="inlineStr">
        <is>
          <t>Han llegado dos paneles dañados por ambas caras. El cliente no lo puede utilizar</t>
        </is>
      </c>
      <c r="P377" s="98" t="n">
        <v>396</v>
      </c>
      <c r="Q377" s="99" t="n"/>
      <c r="R377" s="99" t="n"/>
      <c r="S377" s="50" t="e">
        <v>#REF!</v>
      </c>
    </row>
    <row r="378" ht="30" customHeight="1">
      <c r="A378" s="55" t="inlineStr">
        <is>
          <t>CP380</t>
        </is>
      </c>
      <c r="B378" s="55" t="inlineStr">
        <is>
          <t>CERRADA</t>
        </is>
      </c>
      <c r="C378" s="56" t="n">
        <v>45821</v>
      </c>
      <c r="D378" s="57" t="inlineStr">
        <is>
          <t>OC25-251002324</t>
        </is>
      </c>
      <c r="E378" s="58" t="n">
        <v>45813</v>
      </c>
      <c r="F378" s="57" t="inlineStr">
        <is>
          <t>OC25-251002324</t>
        </is>
      </c>
      <c r="G378" s="55" t="inlineStr">
        <is>
          <t>REP-IT. OC25-251002324 -IBIZA GRAN HOTEL_SULA PLANET_BAL</t>
        </is>
      </c>
      <c r="H378" s="55" t="inlineStr">
        <is>
          <t>Sula Planet</t>
        </is>
      </c>
      <c r="I378" s="55" t="inlineStr">
        <is>
          <t>José Luis</t>
        </is>
      </c>
      <c r="J378" s="55" t="inlineStr">
        <is>
          <t>David</t>
        </is>
      </c>
      <c r="K378" s="55" t="inlineStr">
        <is>
          <t>Falta Paneles fábrica</t>
        </is>
      </c>
      <c r="L378" s="55" t="e">
        <v>#REF!</v>
      </c>
      <c r="M378" s="59" t="inlineStr">
        <is>
          <t>Falta 1 ud V-CUT EW202 ECO-125</t>
        </is>
      </c>
      <c r="N378" s="55" t="inlineStr">
        <is>
          <t>El cliente solicita abono</t>
        </is>
      </c>
      <c r="O378" s="46" t="inlineStr">
        <is>
          <t>Falta 1 ud V-CUT EW202 ECO-125</t>
        </is>
      </c>
      <c r="P378" s="101" t="n">
        <v>242</v>
      </c>
      <c r="Q378" s="102" t="n"/>
      <c r="R378" s="102" t="n"/>
      <c r="S378" s="55" t="e">
        <v>#REF!</v>
      </c>
    </row>
    <row r="379" ht="75" customHeight="1">
      <c r="A379" s="50" t="inlineStr">
        <is>
          <t>CP381</t>
        </is>
      </c>
      <c r="B379" s="50" t="inlineStr">
        <is>
          <t>CERRADA</t>
        </is>
      </c>
      <c r="C379" s="51" t="n">
        <v>45819</v>
      </c>
      <c r="D379" s="52" t="inlineStr">
        <is>
          <t>OC25-251003053</t>
        </is>
      </c>
      <c r="E379" s="53" t="n">
        <v>45819</v>
      </c>
      <c r="F379" s="52" t="inlineStr">
        <is>
          <t>OC25-251001524</t>
        </is>
      </c>
      <c r="G379" s="50" t="inlineStr">
        <is>
          <t>OC25-251003053  - REP- INST - OC25-251001524 TETRIS OMIE MAD</t>
        </is>
      </c>
      <c r="H379" s="50" t="inlineStr">
        <is>
          <t>TETRIS</t>
        </is>
      </c>
      <c r="I379" s="50" t="inlineStr">
        <is>
          <t>Ricardo</t>
        </is>
      </c>
      <c r="J379" s="50" t="inlineStr">
        <is>
          <t>Ángela</t>
        </is>
      </c>
      <c r="K379" s="50" t="inlineStr">
        <is>
          <t>Error en la instalación</t>
        </is>
      </c>
      <c r="L379" s="50" t="e">
        <v>#REF!</v>
      </c>
      <c r="M379" s="54" t="inlineStr">
        <is>
          <t>Avisar a instalador que no tire aunque piense que es despedicio</t>
        </is>
      </c>
      <c r="N379" s="50" t="inlineStr">
        <is>
          <t>Reponer 4 paneles al cliente</t>
        </is>
      </c>
      <c r="O379" s="47" t="inlineStr">
        <is>
          <t>De fábrica salió material y el instalador dice que no lo tiene. Es posible que se tirase pensando que era despercidio. Sosprechamos que Sertebra tiro el material por "parecerse" a retales de protección. Se comprueba todo el proceso de fabricacion y es correcto. Ademas las tiras que les faltan, salian de un panel que contenia otras piezas, y esas piezas justo si las tenian... Se repone por ser Sertebra el "culpable"</t>
        </is>
      </c>
      <c r="P379" s="98" t="n">
        <v>673</v>
      </c>
      <c r="Q379" s="99" t="n"/>
      <c r="R379" s="99" t="n"/>
      <c r="S379" s="50" t="e">
        <v>#REF!</v>
      </c>
    </row>
    <row r="380" ht="45" customHeight="1">
      <c r="A380" s="55" t="inlineStr">
        <is>
          <t>CP382</t>
        </is>
      </c>
      <c r="B380" s="55" t="inlineStr">
        <is>
          <t>CERRADA</t>
        </is>
      </c>
      <c r="C380" s="56" t="n">
        <v>45824</v>
      </c>
      <c r="D380" s="57" t="inlineStr">
        <is>
          <t>OC-25-251003185</t>
        </is>
      </c>
      <c r="E380" s="58" t="n">
        <v>45796</v>
      </c>
      <c r="F380" s="57" t="inlineStr">
        <is>
          <t xml:space="preserve">OC25-251001572 </t>
        </is>
      </c>
      <c r="G380" s="55" t="inlineStr">
        <is>
          <t>OC25-251003185 - REP-TCL -OC25-251001572 AMERICOLD PALLARS MAD</t>
        </is>
      </c>
      <c r="H380" s="55" t="inlineStr">
        <is>
          <t xml:space="preserve">TETRIS </t>
        </is>
      </c>
      <c r="I380" s="55" t="inlineStr">
        <is>
          <t>MANEL</t>
        </is>
      </c>
      <c r="J380" s="55" t="inlineStr">
        <is>
          <t>Ángela</t>
        </is>
      </c>
      <c r="K380" s="55" t="inlineStr">
        <is>
          <t>2 Errores TCL</t>
        </is>
      </c>
      <c r="L380" s="55" t="e">
        <v>#REF!</v>
      </c>
      <c r="M380" s="59" t="inlineStr">
        <is>
          <t xml:space="preserve">Revisar mejor los planos del cliente </t>
        </is>
      </c>
      <c r="N380" s="55" t="inlineStr">
        <is>
          <t>Reponer al cliente con el color deseado y recoger lo que se le envío.</t>
        </is>
      </c>
      <c r="O380" s="49" t="inlineStr">
        <is>
          <t xml:space="preserve">Desde el momento que se solicitó el presupuesto, se valoró con el color erroneo. El cliente no corrigió nada cuando se le envió el presupuesto y realizó el pedido según presupuesto erroneo, por lo que el pedido lo realicé según presupuesto aceptado y no era correcto. </t>
        </is>
      </c>
      <c r="P380" s="101" t="n">
        <v>3322</v>
      </c>
      <c r="Q380" s="102" t="n"/>
      <c r="R380" s="102" t="n"/>
      <c r="S380" s="55" t="e">
        <v>#REF!</v>
      </c>
    </row>
    <row r="381" ht="75" customHeight="1">
      <c r="A381" s="50" t="inlineStr">
        <is>
          <t>CP383</t>
        </is>
      </c>
      <c r="B381" s="50" t="inlineStr">
        <is>
          <t>CERRADA</t>
        </is>
      </c>
      <c r="C381" s="51" t="n">
        <v>45832</v>
      </c>
      <c r="D381" s="52" t="inlineStr">
        <is>
          <t>OC25-251003350</t>
        </is>
      </c>
      <c r="E381" s="53" t="n">
        <v>45832</v>
      </c>
      <c r="F381" s="52" t="inlineStr">
        <is>
          <t>OC25-251002233</t>
        </is>
      </c>
      <c r="G381" s="50" t="inlineStr">
        <is>
          <t>OC25-251003350 - REP-CLI OC25-251002233 - RCL MEGABLOK LOSETAS 600 VCUT PERSONALIZADO CAT</t>
        </is>
      </c>
      <c r="H381" s="50" t="n"/>
      <c r="I381" s="50" t="inlineStr">
        <is>
          <t>Manel</t>
        </is>
      </c>
      <c r="J381" s="50" t="inlineStr">
        <is>
          <t>Pablo</t>
        </is>
      </c>
      <c r="K381" s="50" t="inlineStr">
        <is>
          <t>Defecto por cliente</t>
        </is>
      </c>
      <c r="L381" s="50" t="e">
        <v>#REF!</v>
      </c>
      <c r="M381" s="54" t="inlineStr">
        <is>
          <t xml:space="preserve">Comprobar las piezas numeradas con el esquema </t>
        </is>
      </c>
      <c r="N381" s="50" t="inlineStr">
        <is>
          <t xml:space="preserve">Reponer las piezas perimetrales </t>
        </is>
      </c>
      <c r="O381" s="47" t="inlineStr">
        <is>
          <t>El pedido era un mural de piezas numeradas, le llegaron todas menos X unidades (despiece) que correspondían con un panel. El archivo de corte estaba correcto y la ficha de producción también. Es palabra de cliente contra la de produccion en cuanto a que ese panel se corto o no... en los registros de produccion ponia que estaba cortado. No tenemos forma de demostrar que o SI se corto o que realmente NO se corto... Se le repone por detalle comercial. Consumo: 1 Panel V-Cut. Coste repo 0</t>
        </is>
      </c>
      <c r="P381" s="98" t="n">
        <v>275</v>
      </c>
      <c r="Q381" s="99" t="n"/>
      <c r="R381" s="99" t="n"/>
      <c r="S381" s="50" t="e">
        <v>#REF!</v>
      </c>
    </row>
    <row r="382" ht="30" customHeight="1">
      <c r="A382" s="55" t="inlineStr">
        <is>
          <t>CP384</t>
        </is>
      </c>
      <c r="B382" s="55" t="inlineStr">
        <is>
          <t>CERRADA</t>
        </is>
      </c>
      <c r="C382" s="56" t="n">
        <v>45834</v>
      </c>
      <c r="D382" s="57" t="inlineStr">
        <is>
          <t>OC25-251003426</t>
        </is>
      </c>
      <c r="E382" s="58" t="n"/>
      <c r="F382" s="57" t="inlineStr">
        <is>
          <t>OC25-251001801</t>
        </is>
      </c>
      <c r="G382" s="55" t="inlineStr">
        <is>
          <t>OC25-251003426 - REP-INST. OC25-251001801 - SHOWROOM ACTIU LONDRES Breeze</t>
        </is>
      </c>
      <c r="H382" s="55" t="inlineStr">
        <is>
          <t>Actiu</t>
        </is>
      </c>
      <c r="J382" s="55" t="inlineStr">
        <is>
          <t>Luis</t>
        </is>
      </c>
      <c r="K382" s="55" t="inlineStr">
        <is>
          <t>Error en la instalación</t>
        </is>
      </c>
      <c r="L382" s="55" t="e">
        <v>#REF!</v>
      </c>
      <c r="M382" s="59" t="n"/>
      <c r="O382" s="46" t="inlineStr">
        <is>
          <t>Se envia de  nuevo una breeze porque la han roto en instalacion</t>
        </is>
      </c>
      <c r="P382" s="124" t="n">
        <v>0</v>
      </c>
      <c r="Q382" s="102" t="n"/>
      <c r="R382" s="102" t="n"/>
      <c r="S382" s="55" t="e">
        <v>#REF!</v>
      </c>
    </row>
    <row r="383" ht="45" customHeight="1">
      <c r="A383" s="50" t="inlineStr">
        <is>
          <t>CP385</t>
        </is>
      </c>
      <c r="B383" s="50" t="inlineStr">
        <is>
          <t>CERRADA</t>
        </is>
      </c>
      <c r="C383" s="51" t="n">
        <v>45834</v>
      </c>
      <c r="D383" s="52" t="inlineStr">
        <is>
          <t>OC25-251003457</t>
        </is>
      </c>
      <c r="E383" s="53" t="n">
        <v>45833</v>
      </c>
      <c r="F383" s="52" t="inlineStr">
        <is>
          <t>OC25-251002444</t>
        </is>
      </c>
      <c r="G383" s="50" t="inlineStr">
        <is>
          <t>OC25-251003457 - REP-ERT OC25-251002444 - CADIRAFINA CASER PRIMER PEDIDO CAT</t>
        </is>
      </c>
      <c r="H383" s="50" t="inlineStr">
        <is>
          <t>CADIRAFINA</t>
        </is>
      </c>
      <c r="I383" s="50" t="inlineStr">
        <is>
          <t>Manel</t>
        </is>
      </c>
      <c r="J383" s="50" t="inlineStr">
        <is>
          <t>Mónica</t>
        </is>
      </c>
      <c r="K383" s="50" t="inlineStr">
        <is>
          <t>Error CAD</t>
        </is>
      </c>
      <c r="L383" s="50" t="e">
        <v>#REF!</v>
      </c>
      <c r="M383" s="54" t="inlineStr">
        <is>
          <t>Revisar que el archivo de corte del pedido coincide con la última muestra validada por el cliente</t>
        </is>
      </c>
      <c r="N383" s="50" t="inlineStr">
        <is>
          <t>Reposición al cliente</t>
        </is>
      </c>
      <c r="O383" s="47" t="inlineStr">
        <is>
          <t>No se actualizaron los últimos cambios en el diseño de los biseles</t>
        </is>
      </c>
      <c r="P383" s="98" t="n">
        <v>7880</v>
      </c>
      <c r="Q383" s="99" t="n"/>
      <c r="R383" s="99" t="n"/>
      <c r="S383" s="50" t="e">
        <v>#REF!</v>
      </c>
    </row>
    <row r="384" ht="45" customHeight="1">
      <c r="A384" s="55" t="inlineStr">
        <is>
          <t>CP386</t>
        </is>
      </c>
      <c r="B384" s="55" t="inlineStr">
        <is>
          <t>CERRADA</t>
        </is>
      </c>
      <c r="C384" s="56" t="n">
        <v>45835</v>
      </c>
      <c r="D384" s="57" t="inlineStr">
        <is>
          <t>OC25-251003474</t>
        </is>
      </c>
      <c r="E384" s="58" t="n">
        <v>45777</v>
      </c>
      <c r="F384" s="57" t="inlineStr">
        <is>
          <t>OC25-251000543</t>
        </is>
      </c>
      <c r="G384" s="55" t="inlineStr">
        <is>
          <t>OC25-251003474 - REP-IT 251000543 - DP TEQUIPA 24213 OP2 PISCINA FUERTEVENTURA LP</t>
        </is>
      </c>
      <c r="I384" s="55" t="inlineStr">
        <is>
          <t>Iker</t>
        </is>
      </c>
      <c r="J384" s="55" t="inlineStr">
        <is>
          <t>Rashli</t>
        </is>
      </c>
      <c r="K384" s="55" t="inlineStr">
        <is>
          <t>Transporte</t>
        </is>
      </c>
      <c r="L384" s="55" t="e">
        <v>#REF!</v>
      </c>
      <c r="M384" s="59" t="inlineStr">
        <is>
          <t>Reforzar empaquetado</t>
        </is>
      </c>
      <c r="N384" s="55" t="inlineStr">
        <is>
          <t>Reponer dos unidades de shape</t>
        </is>
      </c>
      <c r="O384" s="46" t="inlineStr">
        <is>
          <t>Dos piezas de SHAPES llegaron con las esquinas tocadas.</t>
        </is>
      </c>
      <c r="P384" s="101" t="n">
        <v>143</v>
      </c>
      <c r="Q384" s="102" t="n"/>
      <c r="R384" s="102" t="n"/>
      <c r="S384" s="55" t="e">
        <v>#REF!</v>
      </c>
    </row>
    <row r="385" ht="45" customHeight="1">
      <c r="A385" s="50" t="inlineStr">
        <is>
          <t>CP387</t>
        </is>
      </c>
      <c r="B385" s="50" t="inlineStr">
        <is>
          <t>CERRADA</t>
        </is>
      </c>
      <c r="C385" s="51" t="n">
        <v>45838</v>
      </c>
      <c r="D385" s="52" t="inlineStr">
        <is>
          <t>OC25-251003545</t>
        </is>
      </c>
      <c r="E385" s="53" t="n">
        <v>45814</v>
      </c>
      <c r="F385" s="52" t="inlineStr">
        <is>
          <t>OC25-251001133</t>
        </is>
      </c>
      <c r="G385" s="50" t="inlineStr">
        <is>
          <t>OC25-251003545 - REP-IT OC25-251001133 - TOURAINE LOGEMENT_RACINEA_EMOTION_IINTER_FR</t>
        </is>
      </c>
      <c r="H385" s="50" t="inlineStr">
        <is>
          <t>CANOPEA</t>
        </is>
      </c>
      <c r="I385" s="50" t="inlineStr">
        <is>
          <t>Sylvain</t>
        </is>
      </c>
      <c r="J385" s="50" t="inlineStr">
        <is>
          <t>Rashli</t>
        </is>
      </c>
      <c r="K385" s="50" t="inlineStr">
        <is>
          <t>Transporte</t>
        </is>
      </c>
      <c r="L385" s="50" t="e">
        <v>#REF!</v>
      </c>
      <c r="M385" s="54" t="inlineStr">
        <is>
          <t>Reforzar empaquetado</t>
        </is>
      </c>
      <c r="N385" s="50" t="inlineStr">
        <is>
          <t>Reponer 2 emotion classic EW272</t>
        </is>
      </c>
      <c r="O385" s="47" t="inlineStr">
        <is>
          <t>Dos paneles emotion llegaron con los bordes dañados</t>
        </is>
      </c>
      <c r="P385" s="98" t="n">
        <v>582</v>
      </c>
      <c r="Q385" s="99" t="n"/>
      <c r="R385" s="99" t="n"/>
      <c r="S385" s="50" t="e">
        <v>#REF!</v>
      </c>
    </row>
    <row r="386" ht="45" customHeight="1">
      <c r="A386" s="55" t="inlineStr">
        <is>
          <t>CP388</t>
        </is>
      </c>
      <c r="B386" s="55" t="inlineStr">
        <is>
          <t>CERRADA</t>
        </is>
      </c>
      <c r="C386" s="56" t="n">
        <v>45839</v>
      </c>
      <c r="D386" s="57" t="inlineStr">
        <is>
          <t>OC25-251003564</t>
        </is>
      </c>
      <c r="E386" s="125" t="n"/>
      <c r="F386" s="57" t="inlineStr">
        <is>
          <t>OC25-251000394</t>
        </is>
      </c>
      <c r="G386" s="55" t="inlineStr">
        <is>
          <t>OC25-251003564 - REP-ERF. OC25-251000394 - V2 1096. 00. CABOPOL_HORACIO COSTA_ECOCLOUD_INTER_PT</t>
        </is>
      </c>
      <c r="H386" s="55" t="inlineStr">
        <is>
          <t>HORACIO COSTA</t>
        </is>
      </c>
      <c r="I386" s="55" t="inlineStr">
        <is>
          <t>Paulo</t>
        </is>
      </c>
      <c r="J386" s="55" t="inlineStr">
        <is>
          <t>Luis</t>
        </is>
      </c>
      <c r="K386" s="55" t="inlineStr">
        <is>
          <t>Fabricación</t>
        </is>
      </c>
      <c r="L386" s="55" t="e">
        <v>#REF!</v>
      </c>
      <c r="M386" s="59" t="inlineStr">
        <is>
          <t>Reforzar empaquetado</t>
        </is>
      </c>
      <c r="N386" s="55" t="inlineStr">
        <is>
          <t>Reponer paneles marcados</t>
        </is>
      </c>
      <c r="O386" s="46" t="inlineStr">
        <is>
          <t>Una isla ha llegado marcada y el cliente pide que se repongan las dos partes de la isla</t>
        </is>
      </c>
      <c r="P386" s="101" t="n">
        <v>312</v>
      </c>
      <c r="Q386" s="102" t="n"/>
      <c r="R386" s="102" t="n"/>
      <c r="S386" s="55" t="e">
        <v>#REF!</v>
      </c>
    </row>
    <row r="387" ht="30" customHeight="1">
      <c r="A387" s="50" t="inlineStr">
        <is>
          <t>CP389</t>
        </is>
      </c>
      <c r="B387" s="50" t="inlineStr">
        <is>
          <t>CERRADA</t>
        </is>
      </c>
      <c r="C387" s="51" t="n">
        <v>45840</v>
      </c>
      <c r="D387" s="52" t="inlineStr">
        <is>
          <t>OC25-251003630</t>
        </is>
      </c>
      <c r="E387" s="126" t="n">
        <v>45720</v>
      </c>
      <c r="F387" s="52" t="n">
        <v>312</v>
      </c>
      <c r="G387" s="50" t="inlineStr">
        <is>
          <t>OC25-251003630 - REP-CO 312. 00. BE88 IGLESIA VCUT PV</t>
        </is>
      </c>
      <c r="H387" s="50" t="inlineStr">
        <is>
          <t>BE 88</t>
        </is>
      </c>
      <c r="I387" s="50" t="inlineStr">
        <is>
          <t>Jon Rioboo</t>
        </is>
      </c>
      <c r="J387" s="50" t="inlineStr">
        <is>
          <t>Rashli</t>
        </is>
      </c>
      <c r="K387" s="50" t="inlineStr">
        <is>
          <t>Color - Lote - Diferencia</t>
        </is>
      </c>
      <c r="L387" s="50" t="e">
        <v>#REF!</v>
      </c>
      <c r="M387" s="54" t="inlineStr">
        <is>
          <t>Revisar el lote de las ampliaciones</t>
        </is>
      </c>
      <c r="N387" s="50" t="inlineStr">
        <is>
          <t>Reponer pared completa para asegurar color</t>
        </is>
      </c>
      <c r="O387" s="47" t="inlineStr">
        <is>
          <t>La pieza final de la pared tiene un tono diferente al del resto de piezas, por lo que hay que repetir el tramo completo</t>
        </is>
      </c>
      <c r="P387" s="98" t="n">
        <v>696.96</v>
      </c>
      <c r="Q387" s="99" t="n"/>
      <c r="R387" s="99" t="n"/>
      <c r="S387" s="50" t="e">
        <v>#REF!</v>
      </c>
    </row>
    <row r="388" ht="30" customHeight="1">
      <c r="A388" s="55" t="inlineStr">
        <is>
          <t>CP390</t>
        </is>
      </c>
      <c r="B388" s="55" t="inlineStr">
        <is>
          <t>CERRADA</t>
        </is>
      </c>
      <c r="C388" s="56" t="n">
        <v>45842</v>
      </c>
      <c r="D388" s="57" t="inlineStr">
        <is>
          <t>OC25-251003714</t>
        </is>
      </c>
      <c r="E388" s="58" t="n">
        <v>45834</v>
      </c>
      <c r="F388" s="57" t="inlineStr">
        <is>
          <t>OC25-251003326</t>
        </is>
      </c>
      <c r="G388" s="55" t="inlineStr">
        <is>
          <t>OC25-251003714 - REP-MP OC25-251003326 ESTEREO INGENIERO BASIC AND</t>
        </is>
      </c>
      <c r="H388" s="55" t="inlineStr">
        <is>
          <t>ESTEREO INGENIEROS</t>
        </is>
      </c>
      <c r="I388" s="55" t="inlineStr">
        <is>
          <t>Jorge Blanco</t>
        </is>
      </c>
      <c r="J388" s="55" t="inlineStr">
        <is>
          <t>Belén</t>
        </is>
      </c>
      <c r="K388" s="55" t="inlineStr">
        <is>
          <t>Defecto Materia Prima</t>
        </is>
      </c>
      <c r="L388" s="55" t="e">
        <v>#REF!</v>
      </c>
      <c r="M388" s="59" t="inlineStr">
        <is>
          <t>Revisar la materia prima antes de enviar</t>
        </is>
      </c>
      <c r="N388" s="55" t="inlineStr">
        <is>
          <t>Reponer 18 piezas de foam blanco sin pintar de 500x500</t>
        </is>
      </c>
      <c r="O388" s="46" t="inlineStr">
        <is>
          <t>Como era una ampliacion, se mandaron 36 piezas de 500x500 y 18 llegaron amarillas</t>
        </is>
      </c>
      <c r="P388" s="101" t="n">
        <v>312.7</v>
      </c>
      <c r="Q388" s="102" t="n"/>
      <c r="R388" s="102" t="n"/>
      <c r="S388" s="55" t="e">
        <v>#REF!</v>
      </c>
    </row>
    <row r="389" ht="45" customHeight="1">
      <c r="A389" s="50" t="inlineStr">
        <is>
          <t>CP391</t>
        </is>
      </c>
      <c r="B389" s="50" t="inlineStr">
        <is>
          <t>CERRADA</t>
        </is>
      </c>
      <c r="C389" s="51" t="n"/>
      <c r="D389" s="52" t="inlineStr">
        <is>
          <t>OC25-251002327</t>
        </is>
      </c>
      <c r="E389" s="53" t="n"/>
      <c r="F389" s="52" t="inlineStr">
        <is>
          <t>OC25-251002327</t>
        </is>
      </c>
      <c r="G389" s="50" t="inlineStr">
        <is>
          <t>OC25-251002327 - REP-COM OC25-251001914 - INSTALDECO AMPLIACION SHOWROOM VCUT CAT</t>
        </is>
      </c>
      <c r="H389" s="50" t="inlineStr">
        <is>
          <t>INSTALDECO</t>
        </is>
      </c>
      <c r="I389" s="50" t="inlineStr">
        <is>
          <t>Manel</t>
        </is>
      </c>
      <c r="J389" s="50" t="inlineStr">
        <is>
          <t>Pablo</t>
        </is>
      </c>
      <c r="K389" s="50" t="inlineStr">
        <is>
          <t>Defecto por comercial</t>
        </is>
      </c>
      <c r="L389" s="50" t="e">
        <v>#REF!</v>
      </c>
      <c r="M389" s="54" t="inlineStr">
        <is>
          <t>Reponer pieza solicitada</t>
        </is>
      </c>
      <c r="N389" s="50" t="n"/>
      <c r="O389" s="47" t="inlineStr">
        <is>
          <t>Comercial (Manel) solicita pedido con medidas incorrectas de una pared medida por él, cuando le llega el pedido, Manel solicita reposición con las dimensiones ok.</t>
        </is>
      </c>
      <c r="P389" s="98" t="n">
        <v>143</v>
      </c>
      <c r="Q389" s="99" t="n"/>
      <c r="R389" s="99" t="n"/>
      <c r="S389" s="50" t="e">
        <v>#REF!</v>
      </c>
    </row>
    <row r="390" ht="45" customHeight="1">
      <c r="A390" s="55" t="inlineStr">
        <is>
          <t>CP392</t>
        </is>
      </c>
      <c r="B390" s="55" t="inlineStr">
        <is>
          <t>CERRADA</t>
        </is>
      </c>
      <c r="C390" s="56" t="n">
        <v>45849</v>
      </c>
      <c r="D390" s="57" t="inlineStr">
        <is>
          <t>OC25-251003872</t>
        </is>
      </c>
      <c r="E390" s="58" t="n">
        <v>45834</v>
      </c>
      <c r="F390" s="57" t="inlineStr">
        <is>
          <t>OC25-251002981</t>
        </is>
      </c>
      <c r="G390" s="55" t="inlineStr">
        <is>
          <t>OC25-251003872 - REP-ERT OC25-251002981 ZAPPING DH ECONORDIK NOGAL AND</t>
        </is>
      </c>
      <c r="H390" s="55" t="inlineStr">
        <is>
          <t>ZAPPING DIGITAL HOME SL</t>
        </is>
      </c>
      <c r="I390" s="55" t="inlineStr">
        <is>
          <t>Jorge Blanco</t>
        </is>
      </c>
      <c r="J390" s="106" t="inlineStr">
        <is>
          <t>MªÁngeles</t>
        </is>
      </c>
      <c r="K390" s="55" t="inlineStr">
        <is>
          <t>Fabricación</t>
        </is>
      </c>
      <c r="L390" s="55" t="e">
        <v>#REF!</v>
      </c>
      <c r="M390" s="59" t="inlineStr">
        <is>
          <t>Reacción para que no vuelva a pasar, preguntar o revisar si el nogal es de canto claro o de canto oscuro, sobretodo cuando es una ampliación</t>
        </is>
      </c>
      <c r="N390" s="55" t="inlineStr">
        <is>
          <t>Reponer la cantidad de econordiks</t>
        </is>
      </c>
      <c r="O390" s="46" t="inlineStr">
        <is>
          <t>Se pidió una ampliación de Econordik Nogal, y se ha enviado el econordik nogal con canto oscuro y necesitan el de canto claro porque el técnico no sabía que había dos tonos de canto y de otra dimensión porque producción le dijo al técnico que no había de la dimensión solicitada</t>
        </is>
      </c>
      <c r="P390" s="101" t="n">
        <v>580</v>
      </c>
      <c r="Q390" s="102" t="n"/>
      <c r="R390" s="102" t="inlineStr">
        <is>
          <t>REVISADO</t>
        </is>
      </c>
      <c r="S390" s="55" t="e">
        <v>#REF!</v>
      </c>
    </row>
    <row r="391" ht="30" customHeight="1">
      <c r="A391" s="50" t="inlineStr">
        <is>
          <t>CP393</t>
        </is>
      </c>
      <c r="B391" s="50" t="inlineStr">
        <is>
          <t>CERRADA</t>
        </is>
      </c>
      <c r="C391" s="51" t="n">
        <v>45852</v>
      </c>
      <c r="D391" s="52" t="inlineStr">
        <is>
          <t>OC25-251003926</t>
        </is>
      </c>
      <c r="E391" s="53" t="n">
        <v>45800</v>
      </c>
      <c r="F391" s="52" t="inlineStr">
        <is>
          <t>OC25-251001396</t>
        </is>
      </c>
      <c r="G391" s="50" t="inlineStr">
        <is>
          <t>OC25-251003926 - REP-COM E4 estudio panel mad</t>
        </is>
      </c>
      <c r="H391" s="50" t="inlineStr">
        <is>
          <t>DESARROLLOS Y PROYECTOS ALSAN</t>
        </is>
      </c>
      <c r="I391" s="50" t="inlineStr">
        <is>
          <t>JUANJO</t>
        </is>
      </c>
      <c r="J391" s="50" t="inlineStr">
        <is>
          <t>Belén</t>
        </is>
      </c>
      <c r="K391" s="50" t="inlineStr">
        <is>
          <t>Defecto por comercial</t>
        </is>
      </c>
      <c r="L391" s="50" t="e">
        <v>#REF!</v>
      </c>
      <c r="M391" s="54" t="inlineStr">
        <is>
          <t>que los comerciales no midan</t>
        </is>
      </c>
      <c r="N391" s="50" t="inlineStr">
        <is>
          <t>reponer el panel que falta</t>
        </is>
      </c>
      <c r="O391" s="47" t="inlineStr">
        <is>
          <t>Fue Juanjo a medir y midió mal, ahora les falta un panel</t>
        </is>
      </c>
      <c r="P391" s="98" t="n">
        <v>298.87</v>
      </c>
      <c r="Q391" s="99" t="n"/>
      <c r="R391" s="99" t="n"/>
      <c r="S391" s="50" t="e">
        <v>#REF!</v>
      </c>
    </row>
    <row r="392" ht="30" customHeight="1">
      <c r="A392" s="55" t="inlineStr">
        <is>
          <t>CP394</t>
        </is>
      </c>
      <c r="B392" s="55" t="inlineStr">
        <is>
          <t>CERRADA</t>
        </is>
      </c>
      <c r="C392" s="56" t="n">
        <v>45852</v>
      </c>
      <c r="E392" s="58" t="n">
        <v>45800</v>
      </c>
      <c r="F392" s="57" t="inlineStr">
        <is>
          <t>OC25-251001396</t>
        </is>
      </c>
      <c r="H392" s="55" t="inlineStr">
        <is>
          <t>DESARROLLOS Y PROYECTOS ALSAN</t>
        </is>
      </c>
      <c r="I392" s="55" t="inlineStr">
        <is>
          <t>juanjo</t>
        </is>
      </c>
      <c r="J392" s="55" t="inlineStr">
        <is>
          <t>Belén</t>
        </is>
      </c>
      <c r="K392" s="55" t="inlineStr">
        <is>
          <t>Error Trello técnico</t>
        </is>
      </c>
      <c r="L392" s="55" t="e">
        <v>#REF!</v>
      </c>
      <c r="M392" s="59" t="inlineStr">
        <is>
          <t>si es cola turbo ponerlo en el trello</t>
        </is>
      </c>
      <c r="N392" s="55" t="inlineStr">
        <is>
          <t>abonar la cantidad de dinero que pertenece a las colas</t>
        </is>
      </c>
      <c r="O392" s="46" t="inlineStr">
        <is>
          <t>se me olvidó oner turbo en el trello</t>
        </is>
      </c>
      <c r="P392" s="101" t="n">
        <v>165.17</v>
      </c>
      <c r="Q392" s="102" t="n"/>
      <c r="R392" s="102" t="n"/>
      <c r="S392" s="55" t="e">
        <v>#REF!</v>
      </c>
    </row>
    <row r="393" ht="30" customHeight="1">
      <c r="A393" s="50" t="inlineStr">
        <is>
          <t>CP395</t>
        </is>
      </c>
      <c r="B393" s="50" t="inlineStr">
        <is>
          <t>CERRADA</t>
        </is>
      </c>
      <c r="C393" s="51" t="n">
        <v>45854</v>
      </c>
      <c r="D393" s="52" t="inlineStr">
        <is>
          <t>OC25-251003990</t>
        </is>
      </c>
      <c r="E393" s="126" t="n">
        <v>45814</v>
      </c>
      <c r="F393" s="52" t="inlineStr">
        <is>
          <t>OC25-251001253</t>
        </is>
      </c>
      <c r="G393" s="50" t="inlineStr">
        <is>
          <t>OC25-251003990 - REP-ERT OC25-251001253 - VALCOM HOTEL SANTO DOMINGO MAD</t>
        </is>
      </c>
      <c r="H393" s="50" t="inlineStr">
        <is>
          <t>VALCOM</t>
        </is>
      </c>
      <c r="I393" s="50" t="inlineStr">
        <is>
          <t>Angel Cortijo</t>
        </is>
      </c>
      <c r="J393" s="50" t="inlineStr">
        <is>
          <t>Emilio</t>
        </is>
      </c>
      <c r="K393" s="50" t="inlineStr">
        <is>
          <t>Error CAD</t>
        </is>
      </c>
      <c r="L393" s="50" t="e">
        <v>#REF!</v>
      </c>
      <c r="M393" s="54" t="inlineStr">
        <is>
          <t xml:space="preserve">Revisar bien los planos, separando bien lo que son cotas </t>
        </is>
      </c>
      <c r="N393" s="50" t="inlineStr">
        <is>
          <t>Reposición de 2 paneles cortados en tamaño correcto</t>
        </is>
      </c>
      <c r="O393" s="47" t="inlineStr">
        <is>
          <t>Error al interpretar una linea del plano detalle, confundo cota con corte en el panel generando un corte innecesario que genera 4 piezas en lugar de 2.</t>
        </is>
      </c>
      <c r="P393" s="98" t="n">
        <v>260</v>
      </c>
      <c r="Q393" s="99" t="n"/>
      <c r="R393" s="99" t="inlineStr">
        <is>
          <t>REVISADO</t>
        </is>
      </c>
      <c r="S393" s="50" t="e">
        <v>#REF!</v>
      </c>
    </row>
    <row r="394" ht="60" customHeight="1">
      <c r="A394" s="55" t="inlineStr">
        <is>
          <t>CP396</t>
        </is>
      </c>
      <c r="B394" s="55" t="inlineStr">
        <is>
          <t>CERRADA</t>
        </is>
      </c>
      <c r="C394" s="56" t="n">
        <v>45854</v>
      </c>
      <c r="D394" s="57" t="inlineStr">
        <is>
          <t>OC25-251004027</t>
        </is>
      </c>
      <c r="E394" s="125" t="n">
        <v>45819</v>
      </c>
      <c r="F394" s="57" t="n">
        <v>251002433</v>
      </c>
      <c r="G394" s="55" t="inlineStr">
        <is>
          <t>OC25-251004027 - REP-TF 251002433 NOA MADERA VALENCIA ARENA BAFFLES GAL</t>
        </is>
      </c>
      <c r="H394" s="55" t="inlineStr">
        <is>
          <t>NOA MADERA/MALASA</t>
        </is>
      </c>
      <c r="I394" s="55" t="inlineStr">
        <is>
          <t>Covadonga</t>
        </is>
      </c>
      <c r="J394" s="55" t="inlineStr">
        <is>
          <t>Rashli</t>
        </is>
      </c>
      <c r="K394" s="55" t="inlineStr">
        <is>
          <t>2 Errores TF</t>
        </is>
      </c>
      <c r="L394" s="55" t="e">
        <v>#REF!</v>
      </c>
      <c r="M394" s="59" t="inlineStr">
        <is>
          <t>Establecer una forma clara de numerar las piezas cuando hay un diseño muy específico y comprobar además que el diseño encaja después de hacer el corte.</t>
        </is>
      </c>
      <c r="N394" s="55" t="inlineStr">
        <is>
          <t>Enviar 16 baffles ajustados para que el diseño quede bien.</t>
        </is>
      </c>
      <c r="O394" s="46" t="inlineStr">
        <is>
          <t>Se trata de una composición de baffles muy específica cuyo diseño se modificó en el camino y no se comprobó que cuadrara todo al dedo. A eso le sumamos que las piezas estaban numeradas de forma incorrecta entonces tuvieron que inventarse el orden a la hora de instalar</t>
        </is>
      </c>
      <c r="P394" s="101" t="n">
        <v>1292</v>
      </c>
      <c r="Q394" s="102" t="n"/>
      <c r="R394" s="102" t="n"/>
      <c r="S394" s="55" t="e">
        <v>#REF!</v>
      </c>
    </row>
    <row r="395" ht="45" customHeight="1">
      <c r="A395" s="50" t="inlineStr">
        <is>
          <t>CP397</t>
        </is>
      </c>
      <c r="B395" s="50" t="inlineStr">
        <is>
          <t>CERRADA</t>
        </is>
      </c>
      <c r="C395" s="51" t="n">
        <v>45855</v>
      </c>
      <c r="D395" s="52" t="n">
        <v>251004040</v>
      </c>
      <c r="E395" s="126" t="n"/>
      <c r="F395" s="52" t="n">
        <v>251003231</v>
      </c>
      <c r="G395" s="50" t="inlineStr">
        <is>
          <t>OC25-251004040 - REP-IT. OC25-251003231 - AMPL V2 SMS_FRANKENNE_ECOwall emotion_INTER_GER</t>
        </is>
      </c>
      <c r="H395" s="50" t="inlineStr">
        <is>
          <t>FRANKENNE GMBH</t>
        </is>
      </c>
      <c r="I395" s="50" t="inlineStr">
        <is>
          <t>Ivan</t>
        </is>
      </c>
      <c r="J395" s="50" t="inlineStr">
        <is>
          <t>Luis</t>
        </is>
      </c>
      <c r="K395" s="50" t="inlineStr">
        <is>
          <t>Transporte</t>
        </is>
      </c>
      <c r="L395" s="50" t="e">
        <v>#REF!</v>
      </c>
      <c r="M395" s="54" t="inlineStr">
        <is>
          <t>Repetir pedido</t>
        </is>
      </c>
      <c r="N395" s="50" t="inlineStr">
        <is>
          <t>Reforzar el empaquetado de paneles sueltos</t>
        </is>
      </c>
      <c r="O395" s="47" t="inlineStr">
        <is>
          <t>Han llegado los paneles dañados por trasporte. Se repone todo el pedido</t>
        </is>
      </c>
      <c r="P395" s="98" t="n">
        <v>684</v>
      </c>
      <c r="Q395" s="99" t="n"/>
      <c r="R395" s="99" t="n"/>
      <c r="S395" s="50" t="e">
        <v>#REF!</v>
      </c>
    </row>
    <row r="396" ht="45" customHeight="1">
      <c r="A396" s="55" t="inlineStr">
        <is>
          <t>CP398</t>
        </is>
      </c>
      <c r="B396" s="55" t="inlineStr">
        <is>
          <t>CERRADA</t>
        </is>
      </c>
      <c r="C396" s="56" t="n">
        <v>45855</v>
      </c>
      <c r="D396" s="57" t="inlineStr">
        <is>
          <t>OC25-251004055</t>
        </is>
      </c>
      <c r="E396" s="125" t="n">
        <v>45841</v>
      </c>
      <c r="F396" s="57" t="inlineStr">
        <is>
          <t>OC25-251003164</t>
        </is>
      </c>
      <c r="G396" s="55" t="inlineStr">
        <is>
          <t>OC25-251004055 - REP-TCL. OC25-251003164 - SERTEBRA TORRE EUROPA BAFFLES MAD</t>
        </is>
      </c>
      <c r="H396" s="55" t="inlineStr">
        <is>
          <t>SERTEBRA</t>
        </is>
      </c>
      <c r="I396" s="55" t="inlineStr">
        <is>
          <t>Javier Hernandez</t>
        </is>
      </c>
      <c r="J396" s="55" t="inlineStr">
        <is>
          <t>Ángela</t>
        </is>
      </c>
      <c r="K396" s="55" t="inlineStr">
        <is>
          <t>2 Errores TCL</t>
        </is>
      </c>
      <c r="L396" s="55" t="e">
        <v>#REF!</v>
      </c>
      <c r="M396" s="59" t="inlineStr">
        <is>
          <t>No intentar optimizar aunque pidan ajuste de precio</t>
        </is>
      </c>
      <c r="N396" s="55" t="inlineStr">
        <is>
          <t xml:space="preserve">enviar imanes faltantes. </t>
        </is>
      </c>
      <c r="O396" s="46" t="inlineStr">
        <is>
          <t>Se estimaron 2 imanes por baffle, y el instalador está colocando 4 porque dice que dos son insuficientes. Cconsideramos que 2 son insuficientes, pero 3 estaría bien. Por lo que nos hacemos cargo de los adicionales estimando 3</t>
        </is>
      </c>
      <c r="P396" s="101" t="n">
        <v>415</v>
      </c>
      <c r="Q396" s="102" t="n"/>
      <c r="R396" s="102" t="n"/>
      <c r="S396" s="55" t="e">
        <v>#REF!</v>
      </c>
    </row>
    <row r="397" ht="60" customHeight="1">
      <c r="A397" s="50" t="inlineStr">
        <is>
          <t>CP399</t>
        </is>
      </c>
      <c r="B397" s="50" t="inlineStr">
        <is>
          <t>CERRADA</t>
        </is>
      </c>
      <c r="C397" s="51" t="n">
        <v>45856</v>
      </c>
      <c r="D397" s="52" t="inlineStr">
        <is>
          <t>OC25-251004111</t>
        </is>
      </c>
      <c r="E397" s="53" t="n">
        <v>45842</v>
      </c>
      <c r="F397" s="52" t="inlineStr">
        <is>
          <t>OC25-251000377</t>
        </is>
      </c>
      <c r="G397" s="50" t="inlineStr">
        <is>
          <t>OC25-251004111 - REP-IT OC25-251000377 - CONTEL UPC CAMINS CAT (1170)</t>
        </is>
      </c>
      <c r="H397" s="50" t="inlineStr">
        <is>
          <t xml:space="preserve">CONTEL </t>
        </is>
      </c>
      <c r="I397" s="50" t="inlineStr">
        <is>
          <t>Manel</t>
        </is>
      </c>
      <c r="J397" s="50" t="inlineStr">
        <is>
          <t>Mónica</t>
        </is>
      </c>
      <c r="K397" s="50" t="inlineStr">
        <is>
          <t>Transporte</t>
        </is>
      </c>
      <c r="L397" s="50" t="e">
        <v>#REF!</v>
      </c>
      <c r="M397" s="54" t="n"/>
      <c r="N397" s="50" t="inlineStr">
        <is>
          <t>Reposición de 78 anclajes B + 26 botes de adhesivo ECO</t>
        </is>
      </c>
      <c r="O397" s="47" t="inlineStr">
        <is>
          <t>La agencia mezcló los bultos de dos pedidos, perdiendo uno de ellos, y el cliente necesitaba que se entregase al día siguiente de notificar la incidencia. Una vez encuentren los bultos no entregados inicialmente, regresarán a ECOcero o se los quedará el instalador (Brasworking) para futuros proyectos.</t>
        </is>
      </c>
      <c r="P397" s="98" t="n">
        <v>726.73</v>
      </c>
      <c r="Q397" s="99" t="n"/>
      <c r="R397" s="99" t="n"/>
      <c r="S397" s="50" t="e">
        <v>#REF!</v>
      </c>
    </row>
    <row r="398" ht="45" customHeight="1">
      <c r="A398" s="55" t="inlineStr">
        <is>
          <t>CP400</t>
        </is>
      </c>
      <c r="B398" s="55" t="inlineStr">
        <is>
          <t>CERRADA</t>
        </is>
      </c>
      <c r="C398" s="56" t="n">
        <v>45856</v>
      </c>
      <c r="D398" s="57" t="inlineStr">
        <is>
          <t>OC25-251004120</t>
        </is>
      </c>
      <c r="E398" s="58" t="n">
        <v>45833</v>
      </c>
      <c r="F398" s="57" t="inlineStr">
        <is>
          <t>OC25-251002378</t>
        </is>
      </c>
      <c r="G398" s="55" t="inlineStr">
        <is>
          <t>OC25-251004120 - REP-CL OC25-251002378 CANE REIMS FARMAN_PHM_ECOCLOUD_INTER_FR</t>
        </is>
      </c>
      <c r="H398" s="55" t="inlineStr">
        <is>
          <t>PHM IMMOBILIER</t>
        </is>
      </c>
      <c r="I398" s="55" t="inlineStr">
        <is>
          <t>Alexander Bakri</t>
        </is>
      </c>
      <c r="J398" s="55" t="inlineStr">
        <is>
          <t>Houda</t>
        </is>
      </c>
      <c r="K398" s="55" t="inlineStr">
        <is>
          <t>Transporte</t>
        </is>
      </c>
      <c r="L398" s="55" t="e">
        <v>#REF!</v>
      </c>
      <c r="M398" s="59" t="inlineStr">
        <is>
          <t xml:space="preserve">Proteger mejor las islas para que no se marquen los tacos </t>
        </is>
      </c>
      <c r="N398" s="55" t="inlineStr">
        <is>
          <t xml:space="preserve">Reponer dos islas </t>
        </is>
      </c>
      <c r="O398" s="46" t="inlineStr">
        <is>
          <t xml:space="preserve">La agencia a remontado el palet y los tacos sean marcado en la isla de abajo </t>
        </is>
      </c>
      <c r="P398" s="101" t="n">
        <v>385</v>
      </c>
      <c r="Q398" s="102" t="n"/>
      <c r="R398" s="102" t="n"/>
      <c r="S398" s="55" t="e">
        <v>#REF!</v>
      </c>
    </row>
    <row r="399" ht="30" customHeight="1">
      <c r="A399" s="50" t="inlineStr">
        <is>
          <t>CP401</t>
        </is>
      </c>
      <c r="B399" s="50" t="inlineStr">
        <is>
          <t>ABIERTA</t>
        </is>
      </c>
      <c r="C399" s="51" t="n">
        <v>45859</v>
      </c>
      <c r="D399" s="52" t="inlineStr">
        <is>
          <t>OC25-251004147</t>
        </is>
      </c>
      <c r="E399" s="126" t="n">
        <v>45825</v>
      </c>
      <c r="F399" s="52" t="inlineStr">
        <is>
          <t>OC25-251002686</t>
        </is>
      </c>
      <c r="G399" s="50" t="inlineStr">
        <is>
          <t>OC25-251004147 - REP-ERT 251002686 MUEBLES VALLE BIG NONNA ALICIA TOLEDO TENERIFE</t>
        </is>
      </c>
      <c r="H399" s="50" t="inlineStr">
        <is>
          <t>Muebles Valle</t>
        </is>
      </c>
      <c r="I399" s="50" t="inlineStr">
        <is>
          <t>Iker</t>
        </is>
      </c>
      <c r="J399" s="50" t="inlineStr">
        <is>
          <t>Rashli</t>
        </is>
      </c>
      <c r="K399" s="50" t="inlineStr">
        <is>
          <t>Error técnico</t>
        </is>
      </c>
      <c r="L399" s="50" t="e">
        <v>#REF!</v>
      </c>
      <c r="M399" s="54" t="inlineStr">
        <is>
          <t>Revisar las medidas finales con los clientes</t>
        </is>
      </c>
      <c r="N399" s="50" t="inlineStr">
        <is>
          <t>Reponer las jardineras</t>
        </is>
      </c>
      <c r="O399" s="47" t="inlineStr">
        <is>
          <t>EL cliente pidió unas jardineras con unas medidas específicas y al no contratsar cual era alto, ancho y largo, se fabricaron como no era</t>
        </is>
      </c>
      <c r="P399" s="98" t="n">
        <v>468</v>
      </c>
      <c r="Q399" s="99" t="n"/>
      <c r="R399" s="99" t="inlineStr">
        <is>
          <t>REVISADO</t>
        </is>
      </c>
      <c r="S399" s="50" t="e">
        <v>#REF!</v>
      </c>
    </row>
    <row r="400" ht="30" customHeight="1">
      <c r="A400" s="55" t="inlineStr">
        <is>
          <t>CP402</t>
        </is>
      </c>
      <c r="B400" s="55" t="inlineStr">
        <is>
          <t>ABIERTA</t>
        </is>
      </c>
      <c r="C400" s="56" t="n">
        <v>45860</v>
      </c>
      <c r="D400" s="57" t="inlineStr">
        <is>
          <t>OC25-251004149</t>
        </is>
      </c>
      <c r="E400" s="125" t="n">
        <v>45834</v>
      </c>
      <c r="F400" s="57" t="inlineStr">
        <is>
          <t>OC25-251003123</t>
        </is>
      </c>
      <c r="G400" s="55" t="inlineStr">
        <is>
          <t>OC25-251004149 - REP-ERF OC25-251003123 - IDATERM PC2504223 FOAM CAT</t>
        </is>
      </c>
      <c r="H400" s="55" t="inlineStr">
        <is>
          <t>IDATERM</t>
        </is>
      </c>
      <c r="I400" s="55" t="inlineStr">
        <is>
          <t>Manel</t>
        </is>
      </c>
      <c r="J400" s="55" t="inlineStr">
        <is>
          <t>Pablo</t>
        </is>
      </c>
      <c r="K400" s="55" t="inlineStr">
        <is>
          <t>Falta Paneles fábrica</t>
        </is>
      </c>
      <c r="L400" s="55" t="e">
        <v>#REF!</v>
      </c>
      <c r="M400" s="59" t="inlineStr">
        <is>
          <t xml:space="preserve">Revisar las cantidades pedidas con el archivo de corte </t>
        </is>
      </c>
      <c r="N400" s="55" t="inlineStr">
        <is>
          <t>Fabricar las piezas que faltan</t>
        </is>
      </c>
      <c r="O400" s="46" t="inlineStr">
        <is>
          <t xml:space="preserve">Parte del pedido era 180 uds de Foam Gris y 180 de Foam Blanco. Se le enviaron 2 cajas (18uds) más de Gris y 2 cajas menos de Blanco </t>
        </is>
      </c>
      <c r="P400" s="101" t="n">
        <v>392.4</v>
      </c>
      <c r="Q400" s="102" t="n"/>
      <c r="R400" s="102" t="n"/>
      <c r="S400" s="55" t="e">
        <v>#REF!</v>
      </c>
    </row>
    <row r="401" ht="45" customHeight="1">
      <c r="A401" s="50" t="inlineStr">
        <is>
          <t>CP403</t>
        </is>
      </c>
      <c r="B401" s="50" t="inlineStr">
        <is>
          <t>ABIERTA</t>
        </is>
      </c>
      <c r="C401" s="51" t="n">
        <v>45861</v>
      </c>
      <c r="D401" s="52" t="inlineStr">
        <is>
          <t>OC25-251004223</t>
        </is>
      </c>
      <c r="E401" s="126" t="n">
        <v>45861</v>
      </c>
      <c r="F401" s="52" t="n">
        <v>251000609</v>
      </c>
      <c r="G401" s="50" t="inlineStr">
        <is>
          <t>OC25-251004223 - REP-ERF. OC25-251000609 - V2 Repsol_SILOGIA_ECOwall vcut &amp; ECOcloud_INTER_PT</t>
        </is>
      </c>
      <c r="H401" s="50" t="inlineStr">
        <is>
          <t>SILOGIA</t>
        </is>
      </c>
      <c r="I401" s="50" t="inlineStr">
        <is>
          <t>Loliet</t>
        </is>
      </c>
      <c r="J401" s="50" t="inlineStr">
        <is>
          <t>Luis</t>
        </is>
      </c>
      <c r="K401" s="50" t="inlineStr">
        <is>
          <t>Fabricación</t>
        </is>
      </c>
      <c r="L401" s="50" t="e">
        <v>#REF!</v>
      </c>
      <c r="M401" s="54" t="inlineStr">
        <is>
          <t>Repetir als piezas mal pegadas</t>
        </is>
      </c>
      <c r="N401" s="50" t="inlineStr">
        <is>
          <t>Comprobar sentido a la hora de pegar tacos en las islas</t>
        </is>
      </c>
      <c r="O401" s="47" t="inlineStr">
        <is>
          <t>Al cliente SILOGIA le han llegado islas con los tacos pegados en la cara que no toca. Como tienen una forma especial no valen y hay que repetirlas</t>
        </is>
      </c>
      <c r="P401" s="98" t="n">
        <v>416</v>
      </c>
      <c r="Q401" s="99" t="n"/>
      <c r="R401" s="99" t="n"/>
      <c r="S401" s="50" t="e">
        <v>#REF!</v>
      </c>
    </row>
    <row r="402" ht="30" customHeight="1">
      <c r="A402" s="55" t="inlineStr">
        <is>
          <t>CP404</t>
        </is>
      </c>
      <c r="B402" s="55" t="inlineStr">
        <is>
          <t>ABIERTA</t>
        </is>
      </c>
      <c r="C402" s="56" t="n">
        <v>45862</v>
      </c>
      <c r="D402" s="57" t="inlineStr">
        <is>
          <t>OC25-251004247</t>
        </is>
      </c>
      <c r="E402" s="125" t="n">
        <v>45769</v>
      </c>
      <c r="F402" s="57" t="inlineStr">
        <is>
          <t>OC25-251000807</t>
        </is>
      </c>
      <c r="G402" s="55" t="inlineStr">
        <is>
          <t>OC25-251004247 - REP-PRO 251000807 SAVIA ESPACIOS ESTRELLA GALICIA SWEET HOME GAL</t>
        </is>
      </c>
      <c r="H402" s="55" t="inlineStr">
        <is>
          <t>SAVIA ESPACIOS</t>
        </is>
      </c>
      <c r="I402" s="55" t="inlineStr">
        <is>
          <t>Covadonga</t>
        </is>
      </c>
      <c r="J402" s="55" t="inlineStr">
        <is>
          <t>Rashli</t>
        </is>
      </c>
      <c r="K402" s="55" t="inlineStr">
        <is>
          <t>Proveedor</t>
        </is>
      </c>
      <c r="L402" s="55" t="e">
        <v>#REF!</v>
      </c>
      <c r="M402" s="59" t="inlineStr">
        <is>
          <t>Comprobar el material del proveedor</t>
        </is>
      </c>
      <c r="N402" s="55" t="inlineStr">
        <is>
          <t>Enviar las piezas que faltan</t>
        </is>
      </c>
      <c r="O402" s="46" t="inlineStr">
        <is>
          <t>El cliente SAVIA ESPACIOS hizo un pedido de 21 sweet homes y después de montarlas todas se dieron cuenta de que de la caja de herraminetas faltaba una pieza en 4 de las cabinas.</t>
        </is>
      </c>
      <c r="P402" s="101" t="n">
        <v>200</v>
      </c>
      <c r="Q402" s="102" t="n"/>
      <c r="R402" s="102" t="n"/>
      <c r="S402" s="55" t="e">
        <v>#REF!</v>
      </c>
    </row>
    <row r="403" ht="60" customHeight="1">
      <c r="A403" s="50" t="inlineStr">
        <is>
          <t>CP405</t>
        </is>
      </c>
      <c r="B403" s="50" t="inlineStr">
        <is>
          <t>ABIERTA</t>
        </is>
      </c>
      <c r="C403" s="51" t="n">
        <v>45862</v>
      </c>
      <c r="D403" s="52" t="inlineStr">
        <is>
          <t>OC25-251004251</t>
        </is>
      </c>
      <c r="E403" s="126" t="n">
        <v>45832</v>
      </c>
      <c r="F403" s="52" t="inlineStr">
        <is>
          <t>OC25-251002414</t>
        </is>
      </c>
      <c r="G403" s="50" t="inlineStr">
        <is>
          <t>OC25-251004251 - REP-TF 251002414 TEQUIPA 25093 HATOBITO ECOBASIC LP</t>
        </is>
      </c>
      <c r="H403" s="50" t="inlineStr">
        <is>
          <t>TEQUIPA</t>
        </is>
      </c>
      <c r="I403" s="50" t="inlineStr">
        <is>
          <t>Iker</t>
        </is>
      </c>
      <c r="J403" s="50" t="inlineStr">
        <is>
          <t>Rashli</t>
        </is>
      </c>
      <c r="K403" s="50" t="inlineStr">
        <is>
          <t>2 Errores TF</t>
        </is>
      </c>
      <c r="L403" s="50" t="e">
        <v>#REF!</v>
      </c>
      <c r="M403" s="54" t="inlineStr">
        <is>
          <t>Confirmar las medidas del DXF en caso de incongruencia</t>
        </is>
      </c>
      <c r="N403" s="50" t="inlineStr">
        <is>
          <t>Reponer todos los techos técnicos de 12 mm + las colas turbo necesarias</t>
        </is>
      </c>
      <c r="O403" s="47" t="inlineStr">
        <is>
          <t>TEQUIPA nos piden uns techos técnicos de medidad especiales (570x570mm) y aunque tanto en trello como en SAP estaban bien indicados, en el DXF habían las dos medidas, techos de 595*595mm y techos de 570*570mm. Al no haberse hecho la consulta, se cortaron todos los techos de 595*595mm</t>
        </is>
      </c>
      <c r="P403" s="98" t="n">
        <v>830.5</v>
      </c>
      <c r="Q403" s="99" t="n"/>
      <c r="R403" s="99" t="n"/>
      <c r="S403" s="50" t="e">
        <v>#REF!</v>
      </c>
    </row>
    <row r="404" ht="30" customHeight="1">
      <c r="A404" s="55" t="inlineStr">
        <is>
          <t>CP406</t>
        </is>
      </c>
      <c r="B404" s="55" t="inlineStr">
        <is>
          <t>ABIERTA</t>
        </is>
      </c>
      <c r="C404" s="56" t="n">
        <v>45862</v>
      </c>
      <c r="D404" s="57" t="inlineStr">
        <is>
          <t>OC25-251004254</t>
        </is>
      </c>
      <c r="E404" s="125" t="n">
        <v>45832</v>
      </c>
      <c r="F404" s="57" t="inlineStr">
        <is>
          <t>OC25-251002414</t>
        </is>
      </c>
      <c r="G404" s="55" t="inlineStr">
        <is>
          <t>OC25-251004254 - REP-INST 251002414 TEQUIPA 25093 HATOBITO ECOBASIC LP</t>
        </is>
      </c>
      <c r="H404" s="55" t="inlineStr">
        <is>
          <t>TEQUIPA</t>
        </is>
      </c>
      <c r="I404" s="55" t="inlineStr">
        <is>
          <t>Iker</t>
        </is>
      </c>
      <c r="J404" s="55" t="inlineStr">
        <is>
          <t>Rashli</t>
        </is>
      </c>
      <c r="K404" s="55" t="inlineStr">
        <is>
          <t>Error en la instalación</t>
        </is>
      </c>
      <c r="L404" s="55" t="e">
        <v>#REF!</v>
      </c>
      <c r="M404" s="59" t="inlineStr">
        <is>
          <t>No pegaron las piezas correctamnte en el techo</t>
        </is>
      </c>
      <c r="N404" s="55" t="inlineStr">
        <is>
          <t>Reponer todo los techos técnidos de 24 mm</t>
        </is>
      </c>
      <c r="O404" s="46" t="inlineStr">
        <is>
          <t>El instalador de TEQUIPA pegó nuestro material a las placas de forma irregular. A pesar de que estas placas tenían als medidas correctas, las desmontaron todas para su nueva correcta instalación.</t>
        </is>
      </c>
      <c r="P404" s="101" t="n">
        <v>0</v>
      </c>
      <c r="Q404" s="102" t="n"/>
      <c r="R404" s="102" t="n"/>
      <c r="S404" s="55" t="e">
        <v>#REF!</v>
      </c>
    </row>
    <row r="405" ht="45" customHeight="1">
      <c r="A405" s="50" t="inlineStr">
        <is>
          <t>CP407</t>
        </is>
      </c>
      <c r="B405" s="50" t="inlineStr">
        <is>
          <t>ABIERTA</t>
        </is>
      </c>
      <c r="C405" s="51" t="n">
        <v>45863</v>
      </c>
      <c r="D405" s="52" t="inlineStr">
        <is>
          <t>OC25-251004313</t>
        </is>
      </c>
      <c r="E405" s="126" t="n">
        <v>45876</v>
      </c>
      <c r="F405" s="52" t="inlineStr">
        <is>
          <t>OC25-251003318</t>
        </is>
      </c>
      <c r="G405" s="50" t="inlineStr">
        <is>
          <t>OC25-251004313 - REP-ERT OC25-251003318 - INSTALDECO INVERMIK 2500230-03 CAT</t>
        </is>
      </c>
      <c r="H405" s="50" t="n"/>
      <c r="I405" s="50" t="inlineStr">
        <is>
          <t>Manel</t>
        </is>
      </c>
      <c r="J405" s="50" t="inlineStr">
        <is>
          <t>Pablo</t>
        </is>
      </c>
      <c r="K405" s="50" t="inlineStr">
        <is>
          <t>Falta Componentes técnico</t>
        </is>
      </c>
      <c r="L405" s="50" t="e">
        <v>#REF!</v>
      </c>
      <c r="M405" s="54" t="inlineStr">
        <is>
          <t xml:space="preserve">Revisar mejor que coincida lo pedido en la oferta con la hoja de taller </t>
        </is>
      </c>
      <c r="N405" s="50" t="inlineStr">
        <is>
          <t xml:space="preserve">Reponer los dos paneles lisos que ya se cobraron y no se enviaron </t>
        </is>
      </c>
      <c r="O405" s="47" t="inlineStr">
        <is>
          <t xml:space="preserve">Hubo una con fusión con el bisel y se enviaron dos V-cut de otro modelo, por otro lado no se le enviaron dos paneles lisos en eCO-124 Blue green. Al final el cliente asume los V-cut pero reclama que se le envien los dos paneles lisos que ya habia pagado y un abono de los V-Cut. </t>
        </is>
      </c>
      <c r="P405" s="98" t="n">
        <v>500</v>
      </c>
      <c r="Q405" s="99" t="n"/>
      <c r="R405" s="99" t="n"/>
      <c r="S405" s="50" t="e">
        <v>#REF!</v>
      </c>
    </row>
    <row r="406" ht="45" customHeight="1">
      <c r="A406" s="55" t="inlineStr">
        <is>
          <t>CP408</t>
        </is>
      </c>
      <c r="B406" s="55" t="inlineStr">
        <is>
          <t>ABIERTA</t>
        </is>
      </c>
      <c r="C406" s="56" t="n">
        <v>45867</v>
      </c>
      <c r="D406" s="57" t="inlineStr">
        <is>
          <t>OC25-251004364</t>
        </is>
      </c>
      <c r="E406" s="125" t="n">
        <v>45826</v>
      </c>
      <c r="F406" s="57" t="inlineStr">
        <is>
          <t>OC25-251001088</t>
        </is>
      </c>
      <c r="G406" s="55" t="inlineStr">
        <is>
          <t>OC25-251004364 - REP-DC OC25-251001088 - 1703. 02. AMPL P2 HQ AAREON_BIG C_INTER_GER</t>
        </is>
      </c>
      <c r="H406" s="55" t="inlineStr">
        <is>
          <t>Aareon Deutschland GmbH</t>
        </is>
      </c>
      <c r="I406" s="55" t="inlineStr">
        <is>
          <t>Ivan</t>
        </is>
      </c>
      <c r="J406" s="55" t="inlineStr">
        <is>
          <t>Luis</t>
        </is>
      </c>
      <c r="K406" s="55" t="inlineStr">
        <is>
          <t>Defecto por cliente</t>
        </is>
      </c>
      <c r="L406" s="55" t="e">
        <v>#REF!</v>
      </c>
      <c r="M406" s="59" t="inlineStr">
        <is>
          <t>Revisar las instalaciones del techo</t>
        </is>
      </c>
      <c r="N406" s="55" t="inlineStr">
        <is>
          <t>Enviar los imanes para completar los anclajes</t>
        </is>
      </c>
      <c r="O406" s="46" t="inlineStr">
        <is>
          <t>Al llegar a obra se dieron cuenta de que había una tubería metálica de gran tamaño existente en el techo, la cual el cliente no había contemplado, por lo que se necesita completar el material para poder instalar correctamente</t>
        </is>
      </c>
      <c r="P406" s="101" t="n">
        <v>900</v>
      </c>
      <c r="Q406" s="102" t="n"/>
      <c r="R406" s="102" t="inlineStr">
        <is>
          <t>REVISADO</t>
        </is>
      </c>
      <c r="S406" s="55" t="e">
        <v>#REF!</v>
      </c>
    </row>
    <row r="407" ht="30" customHeight="1">
      <c r="A407" s="50" t="inlineStr">
        <is>
          <t>CP409</t>
        </is>
      </c>
      <c r="B407" s="50" t="inlineStr">
        <is>
          <t>ABIERTA</t>
        </is>
      </c>
      <c r="C407" s="51" t="n">
        <v>45867</v>
      </c>
      <c r="D407" s="52" t="inlineStr">
        <is>
          <t>OC25-251004372</t>
        </is>
      </c>
      <c r="E407" s="126" t="inlineStr">
        <is>
          <t>7/17/2025</t>
        </is>
      </c>
      <c r="F407" s="52" t="inlineStr">
        <is>
          <t>OC25-251003775</t>
        </is>
      </c>
      <c r="G407" s="50" t="inlineStr">
        <is>
          <t>OC25-251004372 - REP-TF OC25-251003775 - MAIEROFFICE 2500454 BAFFLE PER CAT</t>
        </is>
      </c>
      <c r="H407" s="50" t="inlineStr">
        <is>
          <t>MAIER OFFICE</t>
        </is>
      </c>
      <c r="I407" s="50" t="inlineStr">
        <is>
          <t>Manel</t>
        </is>
      </c>
      <c r="J407" s="50" t="inlineStr">
        <is>
          <t>Mónica</t>
        </is>
      </c>
      <c r="K407" s="50" t="inlineStr">
        <is>
          <t>2 Errores TF</t>
        </is>
      </c>
      <c r="L407" s="50" t="e">
        <v>#REF!</v>
      </c>
      <c r="M407" s="54" t="inlineStr">
        <is>
          <t>Por el lado técnico: Contrastar las unidades del dxf con la descripción del pedido</t>
        </is>
      </c>
      <c r="N407" s="50" t="inlineStr">
        <is>
          <t xml:space="preserve">Enviar los baffles que faltan </t>
        </is>
      </c>
      <c r="O407" s="47" t="inlineStr">
        <is>
          <t xml:space="preserve">Fabrica: Se corto dos veces un panel con varias piezas y no se corto el siguiente: Faltan 4 baffles. Tecnico: No se dibujaron dos baffles en el dxf: Faltan dos baffles </t>
        </is>
      </c>
      <c r="P407" s="98" t="n">
        <v>387.2</v>
      </c>
      <c r="Q407" s="99" t="n"/>
      <c r="R407" s="99" t="n"/>
      <c r="S407" s="50" t="e">
        <v>#REF!</v>
      </c>
    </row>
    <row r="408" ht="105" customHeight="1">
      <c r="A408" s="55" t="inlineStr">
        <is>
          <t>CP410</t>
        </is>
      </c>
      <c r="B408" s="55" t="inlineStr">
        <is>
          <t>ABIERTA</t>
        </is>
      </c>
      <c r="C408" s="56" t="n">
        <v>45868</v>
      </c>
      <c r="D408" s="57" t="inlineStr">
        <is>
          <t>OC25-251004411</t>
        </is>
      </c>
      <c r="E408" s="125" t="inlineStr">
        <is>
          <t>7/17/2025</t>
        </is>
      </c>
      <c r="F408" s="57" t="inlineStr">
        <is>
          <t>OC25-251003689</t>
        </is>
      </c>
      <c r="G408" s="55" t="inlineStr">
        <is>
          <t>OC25-251004411 - REP-CLICO OC25-251003689 - WHOLECONTRACT VOLOTEA PL4 CAT</t>
        </is>
      </c>
      <c r="H408" s="55" t="inlineStr">
        <is>
          <t>WHOLECONTRACT</t>
        </is>
      </c>
      <c r="I408" s="55" t="inlineStr">
        <is>
          <t>Manel</t>
        </is>
      </c>
      <c r="J408" s="55" t="inlineStr">
        <is>
          <t>Mónica</t>
        </is>
      </c>
      <c r="K408" s="55" t="inlineStr">
        <is>
          <t>Color - Lote - Diferencia</t>
        </is>
      </c>
      <c r="L408" s="55" t="e">
        <v>#REF!</v>
      </c>
      <c r="M408" s="59" t="inlineStr">
        <is>
          <t>Informar al cliente la diferencia de tono entre paneles de 9mm y de 12mm, en este caso ECO-107</t>
        </is>
      </c>
      <c r="N408" s="55" t="inlineStr">
        <is>
          <t>Enviar dos paneles Raw de 12mm para que todos los paneles tengan el mismo tono</t>
        </is>
      </c>
      <c r="O408" s="46" t="inlineStr">
        <is>
          <t>Wholecontract pidió varios modelos en Ópera en 12mm y dos paneles Raw de 9mm para unos remates. El cliente no está conforme con la diferencia de tono entre paneles ECO-107 Ópera de 9mm y 12mm Al ser algo irremediable ya según lo hablado con Ramón y Alex siempre habrá diferencia de tono entre ambos espesores a no ser que cliente informe que necesita mismo tono, y tengamos disponibilidad. El cliente acepta la solución de enviarle dos paneles Raw en 12mm del mismo lote que el resto de su pedido. 
Por criterio comercial de Manel, se envian a coste cero. Se debe asumir 50% ecocero, 50% comercial.</t>
        </is>
      </c>
      <c r="P408" s="101" t="n">
        <v>286</v>
      </c>
      <c r="Q408" s="102" t="n"/>
      <c r="R408" s="102" t="n"/>
      <c r="S408" s="55" t="e">
        <v>#REF!</v>
      </c>
    </row>
    <row r="409" ht="30" customHeight="1">
      <c r="A409" s="50" t="inlineStr">
        <is>
          <t>CP411</t>
        </is>
      </c>
      <c r="B409" s="50" t="inlineStr">
        <is>
          <t>ABIERTA</t>
        </is>
      </c>
      <c r="C409" s="51" t="n">
        <v>45868</v>
      </c>
      <c r="D409" s="52" t="inlineStr">
        <is>
          <t>OC25-251004412</t>
        </is>
      </c>
      <c r="E409" s="126" t="inlineStr">
        <is>
          <t>7/17/2025</t>
        </is>
      </c>
      <c r="F409" s="52" t="inlineStr">
        <is>
          <t>OC25-251002262</t>
        </is>
      </c>
      <c r="G409" s="50" t="inlineStr">
        <is>
          <t>OC25-251004412 - REP-COM OC25-251002262 - UTOPICUS 4500206324 CAT</t>
        </is>
      </c>
      <c r="H409" s="50" t="inlineStr">
        <is>
          <t>UTOPICUS</t>
        </is>
      </c>
      <c r="I409" s="50" t="inlineStr">
        <is>
          <t>Manel</t>
        </is>
      </c>
      <c r="J409" s="50" t="inlineStr">
        <is>
          <t>Mónica</t>
        </is>
      </c>
      <c r="K409" s="50" t="inlineStr">
        <is>
          <t>Defecto por comercial</t>
        </is>
      </c>
      <c r="L409" s="50" t="e">
        <v>#REF!</v>
      </c>
      <c r="M409" s="54" t="inlineStr">
        <is>
          <t xml:space="preserve">Asegurarse de tomar bien las medidas </t>
        </is>
      </c>
      <c r="N409" s="50" t="inlineStr">
        <is>
          <t xml:space="preserve">Enviar 3 paneles del mismo lote </t>
        </is>
      </c>
      <c r="O409" s="47" t="inlineStr">
        <is>
          <t>Manel comenta que pasó mal las medidas, los paneles debían ser de 1100mm de ancho y los pidió de 1000mm.</t>
        </is>
      </c>
      <c r="P409" s="98" t="n">
        <v>546</v>
      </c>
      <c r="Q409" s="99" t="n"/>
      <c r="R409" s="99" t="n"/>
      <c r="S409" s="50" t="e">
        <v>#REF!</v>
      </c>
    </row>
    <row r="410" ht="45" customHeight="1">
      <c r="A410" s="55" t="inlineStr">
        <is>
          <t>CP412</t>
        </is>
      </c>
      <c r="B410" s="55" t="inlineStr">
        <is>
          <t>ABIERTA</t>
        </is>
      </c>
      <c r="C410" s="56" t="n">
        <v>45870</v>
      </c>
      <c r="D410" s="57" t="inlineStr">
        <is>
          <t>OC25-251004450</t>
        </is>
      </c>
      <c r="E410" s="125" t="inlineStr">
        <is>
          <t>7/15/2025</t>
        </is>
      </c>
      <c r="F410" s="57" t="inlineStr">
        <is>
          <t>OC25-251002735</t>
        </is>
      </c>
      <c r="G410" s="55" t="inlineStr">
        <is>
          <t>OC25-251004450 - REP-CLI OC25-251002735 - CIVITYGROUP V-CUT 10510 NERVION CAT</t>
        </is>
      </c>
      <c r="H410" s="55" t="inlineStr">
        <is>
          <t>CIVITYGROUP</t>
        </is>
      </c>
      <c r="I410" s="55" t="inlineStr">
        <is>
          <t xml:space="preserve">Manel </t>
        </is>
      </c>
      <c r="J410" s="55" t="inlineStr">
        <is>
          <t>Pablo</t>
        </is>
      </c>
      <c r="K410" s="55" t="inlineStr">
        <is>
          <t>Falta Paneles fábrica</t>
        </is>
      </c>
      <c r="L410" s="55" t="e">
        <v>#REF!</v>
      </c>
      <c r="M410" s="59" t="inlineStr">
        <is>
          <t>Asegurarnos con el comercial, cliente y fábrica que todo se ha enviado bien</t>
        </is>
      </c>
      <c r="N410" s="55" t="inlineStr">
        <is>
          <t>Enviar la pieza de 1,2x1,2m que les falta</t>
        </is>
      </c>
      <c r="O410" s="46" t="inlineStr">
        <is>
          <t xml:space="preserve">Reclaman una pieza de 1,2x1,2m que les falta de 18 uds que se pidieron con esa medida. El dxf se contempla 9 paneles cortados por la mitad, por lo que resulta extraño que les falte uno, en todo caso les faltarían dos. Tiene pinta que se les ha olvidado pedir uno de más. </t>
        </is>
      </c>
      <c r="P410" s="101" t="n">
        <v>300</v>
      </c>
      <c r="Q410" s="102" t="n"/>
      <c r="R410" s="102" t="n"/>
      <c r="S410" s="55" t="e">
        <v>#REF!</v>
      </c>
    </row>
    <row r="411" ht="45" customHeight="1">
      <c r="A411" s="50" t="inlineStr">
        <is>
          <t>CP413</t>
        </is>
      </c>
      <c r="B411" s="50" t="inlineStr">
        <is>
          <t>ABIERTA</t>
        </is>
      </c>
      <c r="C411" s="51" t="n">
        <v>45856</v>
      </c>
      <c r="D411" s="52" t="inlineStr">
        <is>
          <t>OC25-251004120</t>
        </is>
      </c>
      <c r="E411" s="53" t="n">
        <v>45833</v>
      </c>
      <c r="F411" s="52" t="inlineStr">
        <is>
          <t>OC25-251002378</t>
        </is>
      </c>
      <c r="G411" s="50" t="inlineStr">
        <is>
          <t>OC25-251004120 - REP-CL OC25-251002378 CANE REIMS FARMAN_PHM_ECOCLOUD_INTER_FR</t>
        </is>
      </c>
      <c r="H411" s="50" t="inlineStr">
        <is>
          <t>PHM IMMOBILIER</t>
        </is>
      </c>
      <c r="I411" s="50" t="inlineStr">
        <is>
          <t>Alexander Bakri</t>
        </is>
      </c>
      <c r="J411" s="50" t="inlineStr">
        <is>
          <t>Houda</t>
        </is>
      </c>
      <c r="K411" s="50" t="inlineStr">
        <is>
          <t>Transporte</t>
        </is>
      </c>
      <c r="L411" s="50" t="e">
        <v>#REF!</v>
      </c>
      <c r="M411" s="54" t="inlineStr">
        <is>
          <t xml:space="preserve">Proteger mejor las islas para que no se marquen los tacos </t>
        </is>
      </c>
      <c r="N411" s="50" t="inlineStr">
        <is>
          <t xml:space="preserve">Reponer dos islas </t>
        </is>
      </c>
      <c r="O411" s="50" t="inlineStr">
        <is>
          <t xml:space="preserve">La agencia a remontado el palet y los tacos sean marcado en la isla de abajo </t>
        </is>
      </c>
      <c r="P411" s="98" t="n">
        <v>385</v>
      </c>
      <c r="Q411" s="99" t="n"/>
      <c r="R411" s="99" t="n"/>
      <c r="S411" s="50" t="e">
        <v>#REF!</v>
      </c>
    </row>
    <row r="412">
      <c r="A412" s="55" t="inlineStr">
        <is>
          <t>CP414</t>
        </is>
      </c>
      <c r="B412" s="55" t="inlineStr">
        <is>
          <t>ABIERTA</t>
        </is>
      </c>
      <c r="C412" s="56" t="n">
        <v>45870</v>
      </c>
      <c r="E412" s="125" t="n">
        <v>45848</v>
      </c>
      <c r="F412" s="57" t="inlineStr">
        <is>
          <t>OC25-251003371</t>
        </is>
      </c>
      <c r="H412" s="55" t="inlineStr">
        <is>
          <t>RESO IDF</t>
        </is>
      </c>
      <c r="I412" s="55" t="inlineStr">
        <is>
          <t>ALExander Bakri</t>
        </is>
      </c>
      <c r="J412" s="55" t="inlineStr">
        <is>
          <t>Houda</t>
        </is>
      </c>
      <c r="K412" s="55" t="inlineStr">
        <is>
          <t>Fabricación</t>
        </is>
      </c>
      <c r="L412" s="55" t="e">
        <v>#REF!</v>
      </c>
      <c r="M412" s="59" t="n"/>
      <c r="P412" s="101" t="n">
        <v>0</v>
      </c>
      <c r="Q412" s="102" t="n"/>
      <c r="R412" s="102" t="inlineStr">
        <is>
          <t>REVISADO</t>
        </is>
      </c>
      <c r="S412" s="55" t="e">
        <v>#REF!</v>
      </c>
    </row>
    <row r="413" ht="45" customHeight="1">
      <c r="A413" s="50" t="inlineStr">
        <is>
          <t>CP415</t>
        </is>
      </c>
      <c r="B413" s="50" t="inlineStr">
        <is>
          <t>ABIERTA</t>
        </is>
      </c>
      <c r="C413" s="51" t="n">
        <v>45876</v>
      </c>
      <c r="D413" s="52" t="inlineStr">
        <is>
          <t>OC25-251004584</t>
        </is>
      </c>
      <c r="E413" s="126" t="n"/>
      <c r="F413" s="52" t="inlineStr">
        <is>
          <t>OC25-251001696</t>
        </is>
      </c>
      <c r="G413" s="50" t="inlineStr">
        <is>
          <t>OC25-251004584 - REP-ITF OC25-251001696 - MG INTEGRAL ASTRAZENECA CBRE BARCELONA MAD (PLANTA 9)</t>
        </is>
      </c>
      <c r="H413" s="50" t="inlineStr">
        <is>
          <t>MG INTEGRAL</t>
        </is>
      </c>
      <c r="I413" s="50" t="inlineStr">
        <is>
          <t xml:space="preserve">Manel </t>
        </is>
      </c>
      <c r="J413" s="50" t="inlineStr">
        <is>
          <t>Ángela</t>
        </is>
      </c>
      <c r="K413" s="50" t="inlineStr">
        <is>
          <t>Fabricación</t>
        </is>
      </c>
      <c r="L413" s="50" t="e">
        <v>#REF!</v>
      </c>
      <c r="M413" s="54" t="inlineStr">
        <is>
          <t>Reposición piezas dañadas y faltantes</t>
        </is>
      </c>
      <c r="N413" s="50" t="n"/>
      <c r="O413" s="47" t="inlineStr">
        <is>
          <t>Se enviaron piezas de menos. Y ademas durante la instalación dañaron otra serie de piezas.</t>
        </is>
      </c>
      <c r="P413" s="98" t="n">
        <v>0</v>
      </c>
      <c r="Q413" s="99" t="n"/>
      <c r="R413" s="99" t="n"/>
      <c r="S413" s="50" t="e">
        <v>#REF!</v>
      </c>
    </row>
    <row r="414" ht="60" customHeight="1">
      <c r="A414" s="127" t="inlineStr">
        <is>
          <t>CP416</t>
        </is>
      </c>
      <c r="B414" s="127" t="n"/>
      <c r="C414" s="128" t="n">
        <v>45842</v>
      </c>
      <c r="D414" s="129" t="inlineStr">
        <is>
          <t>OC25-251004492</t>
        </is>
      </c>
      <c r="E414" s="130" t="n"/>
      <c r="F414" s="129" t="inlineStr">
        <is>
          <t>1495.03</t>
        </is>
      </c>
      <c r="G414" s="127" t="inlineStr">
        <is>
          <t>OC25-251004492 - REP-CLI-1495. 03. CANTINA AAREON_MAINZ_AAREON_BAFFLE + 5600. 02. AMPL_CANTINA AAREON_MAINZ_AAERON_BAFFLE</t>
        </is>
      </c>
      <c r="H414" s="127" t="n"/>
      <c r="I414" s="127" t="n"/>
      <c r="J414" s="127" t="inlineStr">
        <is>
          <t>Luis</t>
        </is>
      </c>
      <c r="K414" s="127" t="inlineStr">
        <is>
          <t>Falta Componentes fábrica</t>
        </is>
      </c>
      <c r="L414" s="55" t="e">
        <v>#REF!</v>
      </c>
      <c r="M414" s="131" t="inlineStr">
        <is>
          <t>Enviar los anclajes que faltan</t>
        </is>
      </c>
      <c r="N414" s="127" t="inlineStr">
        <is>
          <t>Contar bien las cantidades de anclajes que se necesitan y revisar si hay algún elemento en el techo que no se ha tenido en cuenta a la hora de hacer el despiece y contar cantidades.</t>
        </is>
      </c>
      <c r="O414" s="132" t="inlineStr">
        <is>
          <t>No se tuvieron en cuenta la cantidad de anclajes necesarios porque había pilares y conductos de ventilación</t>
        </is>
      </c>
      <c r="P414" s="133" t="n">
        <v>720</v>
      </c>
      <c r="Q414" s="129" t="n"/>
      <c r="R414" s="102" t="inlineStr">
        <is>
          <t>REVISADO</t>
        </is>
      </c>
      <c r="S414" s="127" t="e">
        <v>#REF!</v>
      </c>
    </row>
    <row r="415" ht="30" customHeight="1">
      <c r="A415" s="50" t="inlineStr">
        <is>
          <t>CP417</t>
        </is>
      </c>
      <c r="B415" s="50" t="n"/>
      <c r="C415" s="51" t="n">
        <v>45877</v>
      </c>
      <c r="D415" s="52" t="inlineStr">
        <is>
          <t>OC25-251004600</t>
        </is>
      </c>
      <c r="E415" s="126" t="n">
        <v>45841</v>
      </c>
      <c r="F415" s="52" t="inlineStr">
        <is>
          <t>OC25-251002570</t>
        </is>
      </c>
      <c r="G415" s="50" t="inlineStr">
        <is>
          <t>OC25-251004600 - REP-INST OC25-251002570 IDEKO OFICINAS ELGOIBAR PV</t>
        </is>
      </c>
      <c r="H415" s="50" t="inlineStr">
        <is>
          <t>Ideko</t>
        </is>
      </c>
      <c r="I415" s="50" t="inlineStr">
        <is>
          <t>Jon Rioboo</t>
        </is>
      </c>
      <c r="J415" s="50" t="inlineStr">
        <is>
          <t>Rashli</t>
        </is>
      </c>
      <c r="K415" s="50" t="inlineStr">
        <is>
          <t>Error en la instalación</t>
        </is>
      </c>
      <c r="L415" s="50" t="e">
        <v>#REF!</v>
      </c>
      <c r="M415" s="54" t="inlineStr">
        <is>
          <t>Enviar el panel con las medidas buenas</t>
        </is>
      </c>
      <c r="N415" s="50" t="inlineStr">
        <is>
          <t>Enumerar las piezas correctamente</t>
        </is>
      </c>
      <c r="O415" s="47" t="n"/>
      <c r="P415" s="98" t="n">
        <v>156</v>
      </c>
      <c r="Q415" s="99" t="n"/>
      <c r="R415" s="99" t="n"/>
      <c r="S415" s="50" t="e">
        <v>#REF!</v>
      </c>
    </row>
    <row r="416" ht="45" customHeight="1">
      <c r="A416" s="55" t="inlineStr">
        <is>
          <t>CP418</t>
        </is>
      </c>
      <c r="C416" s="56" t="n">
        <v>45882</v>
      </c>
      <c r="D416" s="57" t="inlineStr">
        <is>
          <t>OC25-251004697</t>
        </is>
      </c>
      <c r="E416" s="125" t="n"/>
      <c r="F416" s="57" t="inlineStr">
        <is>
          <t>OC25-251002550</t>
        </is>
      </c>
      <c r="G416" s="134" t="inlineStr">
        <is>
          <t>OC25-251004697 - REP-TCL OC25-251002550 DISOFIC STM MALAGA AND</t>
        </is>
      </c>
      <c r="H416" s="55" t="inlineStr">
        <is>
          <t>HMY YUDIGAR EQUIPAMIENTO SLU</t>
        </is>
      </c>
      <c r="J416" s="55" t="inlineStr">
        <is>
          <t>MªÁngeles</t>
        </is>
      </c>
      <c r="K416" s="55" t="inlineStr">
        <is>
          <t>2 Errores TCL</t>
        </is>
      </c>
      <c r="L416" s="55" t="e">
        <v>#REF!</v>
      </c>
      <c r="M416" s="59" t="inlineStr">
        <is>
          <t>Revisar y leer bien el mail / Que no pinten cosas que no tienen que pintar</t>
        </is>
      </c>
      <c r="N416" s="135" t="inlineStr">
        <is>
          <t>Enviar los paneles con los cantos biselados / El cliente realiza de nuevo el pedido del panel que han estropeado</t>
        </is>
      </c>
      <c r="O416" s="46" t="inlineStr">
        <is>
          <t>No se anotó que esos 3 paneles iban con los cantos biselados / Incidencia instalacion: el cliente informa de que los montadores han pintado el panel con Edding</t>
        </is>
      </c>
      <c r="P416" s="101" t="n">
        <v>871.2</v>
      </c>
      <c r="Q416" s="102" t="n"/>
      <c r="R416" s="102" t="n"/>
      <c r="S416" s="55" t="e">
        <v>#REF!</v>
      </c>
    </row>
    <row r="417" ht="90" customHeight="1">
      <c r="A417" s="50" t="inlineStr">
        <is>
          <t>CP419</t>
        </is>
      </c>
      <c r="B417" s="50" t="n"/>
      <c r="C417" s="51" t="n">
        <v>45882</v>
      </c>
      <c r="D417" s="52" t="n"/>
      <c r="E417" s="126" t="n"/>
      <c r="F417" s="52" t="inlineStr">
        <is>
          <t>OC25-251003613</t>
        </is>
      </c>
      <c r="G417" s="50" t="inlineStr">
        <is>
          <t>OC25-251004705 - REP-CCL OC25-251003613 - RAMSOL BASIC FOAM 21 TAPAS AND</t>
        </is>
      </c>
      <c r="H417" s="50" t="inlineStr">
        <is>
          <t>RAMSOL SISTEMAS DE PROTECCION SOLAR</t>
        </is>
      </c>
      <c r="I417" s="50" t="inlineStr">
        <is>
          <t>Jorge Blanco</t>
        </is>
      </c>
      <c r="J417" s="50" t="inlineStr">
        <is>
          <t>MªÁngeles</t>
        </is>
      </c>
      <c r="K417" s="50" t="inlineStr">
        <is>
          <t>2 Errores CCL</t>
        </is>
      </c>
      <c r="L417" s="50" t="e">
        <v>#REF!</v>
      </c>
      <c r="M417" s="54" t="inlineStr">
        <is>
          <t>Tanto el técnico como el comercial deben de explicar como se debe de instalar el FOAM, aunque en el presupuesto y en el albaran se indique separacion de 5 cm porque puede llevar a confusion, ya que cada pedido puede ser diferente para el mismo espacio</t>
        </is>
      </c>
      <c r="N417" s="50" t="inlineStr">
        <is>
          <t>Replantear los paneles que le faltan al cliente para rellenar todo el techo cada placa de foam a 5cm</t>
        </is>
      </c>
      <c r="O417" s="47" t="inlineStr">
        <is>
          <t>Se le envio el pedido con las placas de FOAM que indicaba el estudio acustico. El cliente empezó a pegar las 54 placas a 5 cm de distancia y no uniformemente a lo largo de todo el techo, por lo que quedo sin placas y mas de la mitad del techo sin paneles</t>
        </is>
      </c>
      <c r="P417" s="98" t="n">
        <v>986.15</v>
      </c>
      <c r="Q417" s="99" t="n"/>
      <c r="R417" s="99" t="n"/>
      <c r="S417" s="50" t="e">
        <v>#REF!</v>
      </c>
    </row>
    <row r="418" ht="60" customHeight="1">
      <c r="A418" s="55" t="inlineStr">
        <is>
          <t>CP420</t>
        </is>
      </c>
      <c r="C418" s="56" t="n">
        <v>45888</v>
      </c>
      <c r="D418" s="57" t="inlineStr">
        <is>
          <t>OC25-251004040</t>
        </is>
      </c>
      <c r="E418" s="125" t="n"/>
      <c r="F418" s="57" t="inlineStr">
        <is>
          <t>OC25-251004746</t>
        </is>
      </c>
      <c r="G418" s="55" t="inlineStr">
        <is>
          <t>OC25-251004746 - REP-IT. OC25-251004040 - REP-IT. OC25-251003231 - AMPL V2 SMS_FRANKENNE_ECOwall emotion_INTER_GER</t>
        </is>
      </c>
      <c r="H418" s="55" t="inlineStr">
        <is>
          <t>FRANKENNE GMBH</t>
        </is>
      </c>
      <c r="I418" s="55" t="inlineStr">
        <is>
          <t>Ivan</t>
        </is>
      </c>
      <c r="J418" s="55" t="inlineStr">
        <is>
          <t>Luis</t>
        </is>
      </c>
      <c r="K418" s="55" t="inlineStr">
        <is>
          <t>Transporte</t>
        </is>
      </c>
      <c r="L418" s="55" t="e">
        <v>#REF!</v>
      </c>
      <c r="M418" s="59" t="inlineStr">
        <is>
          <t>Empauquetar con mayor proteccion las reposiciones de transporte</t>
        </is>
      </c>
      <c r="N418" s="55" t="inlineStr">
        <is>
          <t>Enviar pedido de nuevo</t>
        </is>
      </c>
      <c r="O418" s="46" t="inlineStr">
        <is>
          <t>Ham llegado los paneles en mal estado por segunda vez a causa del transporte</t>
        </is>
      </c>
      <c r="P418" s="101" t="n">
        <v>684</v>
      </c>
      <c r="Q418" s="102" t="n"/>
      <c r="R418" s="102" t="n"/>
      <c r="S418" s="55" t="e">
        <v>#REF!</v>
      </c>
    </row>
    <row r="419" ht="45" customHeight="1">
      <c r="A419" s="50" t="inlineStr">
        <is>
          <t>CP421</t>
        </is>
      </c>
      <c r="B419" s="50" t="n"/>
      <c r="C419" s="51" t="n">
        <v>45894</v>
      </c>
      <c r="D419" s="52" t="inlineStr">
        <is>
          <t>OC25-251004797</t>
        </is>
      </c>
      <c r="E419" s="126" t="inlineStr">
        <is>
          <t>8/18/2025</t>
        </is>
      </c>
      <c r="F419" s="52" t="inlineStr">
        <is>
          <t>OC25-251004205</t>
        </is>
      </c>
      <c r="G419" s="50" t="inlineStr">
        <is>
          <t>OC25-251004797 - REP-ERF OC25-251004205 - LA PREEMINENTE O250154 CAMBRILS PARK FASE 2 CAT</t>
        </is>
      </c>
      <c r="H419" s="50" t="n"/>
      <c r="I419" s="50" t="n"/>
      <c r="J419" s="50" t="inlineStr">
        <is>
          <t>Mónica</t>
        </is>
      </c>
      <c r="K419" s="50" t="inlineStr">
        <is>
          <t>Falta Paneles fábrica</t>
        </is>
      </c>
      <c r="L419" s="50" t="e">
        <v>#REF!</v>
      </c>
      <c r="M419" s="54" t="inlineStr">
        <is>
          <t xml:space="preserve">Una vez acabado el proceso de fabricación, revisar y contar las unidades cortadas </t>
        </is>
      </c>
      <c r="N419" s="50" t="inlineStr">
        <is>
          <t xml:space="preserve">Fabricar y enviar las iunidades que faltan </t>
        </is>
      </c>
      <c r="O419" s="47" t="inlineStr">
        <is>
          <t>Le han llegado 48 Quadrilateral en lugar de 80. En trello todo figura correctamente y en las fotos ajuntas se ve que se han cortado 12 paneles en lugar de 20 (4 Quadrilaterals/panel)</t>
        </is>
      </c>
      <c r="P419" s="98" t="n">
        <v>972.4299999999999</v>
      </c>
      <c r="Q419" s="99" t="n"/>
      <c r="R419" s="99" t="n"/>
      <c r="S419" s="50" t="e">
        <v>#REF!</v>
      </c>
    </row>
    <row r="420" ht="30" customHeight="1">
      <c r="A420" s="55" t="inlineStr">
        <is>
          <t>CP422</t>
        </is>
      </c>
      <c r="C420" s="56" t="n">
        <v>45895</v>
      </c>
      <c r="D420" s="57" t="inlineStr">
        <is>
          <t>OC25-251004818</t>
        </is>
      </c>
      <c r="E420" s="125" t="inlineStr">
        <is>
          <t>8/22/2025</t>
        </is>
      </c>
      <c r="F420" s="57" t="inlineStr">
        <is>
          <t>OC25-251004018</t>
        </is>
      </c>
      <c r="G420" s="55" t="inlineStr">
        <is>
          <t>OC25-251004818 - REP-COM OC25-251004018 - CASA SUN LAMPSHADE CAT</t>
        </is>
      </c>
      <c r="H420" s="55" t="inlineStr">
        <is>
          <t>CASA SUN</t>
        </is>
      </c>
      <c r="I420" s="55" t="inlineStr">
        <is>
          <t>Manel</t>
        </is>
      </c>
      <c r="J420" s="55" t="inlineStr">
        <is>
          <t>Pablo</t>
        </is>
      </c>
      <c r="K420" s="55" t="inlineStr">
        <is>
          <t>Defecto por comercial</t>
        </is>
      </c>
      <c r="L420" s="55" t="e">
        <v>#REF!</v>
      </c>
      <c r="M420" s="59" t="inlineStr">
        <is>
          <t xml:space="preserve">Comprobar correctamente las mediciones o contrastarlas con las medidas del cliente </t>
        </is>
      </c>
      <c r="N420" s="55" t="inlineStr">
        <is>
          <t xml:space="preserve">Enviar la pieza que falta </t>
        </is>
      </c>
      <c r="O420" s="46" t="inlineStr">
        <is>
          <t xml:space="preserve">Las medidas de la pared estan mal tomadas. Pablo hablo con el cliente (Luis) y le dijo que Manel tomó las medidas de la pared. </t>
        </is>
      </c>
      <c r="P420" s="101" t="n"/>
      <c r="Q420" s="102" t="n"/>
      <c r="R420" s="102" t="n"/>
      <c r="S420" s="55" t="e">
        <v>#REF!</v>
      </c>
    </row>
    <row r="421" ht="30" customHeight="1">
      <c r="A421" s="50" t="inlineStr">
        <is>
          <t>CP423</t>
        </is>
      </c>
      <c r="B421" s="50" t="n"/>
      <c r="C421" s="51" t="n">
        <v>45870</v>
      </c>
      <c r="D421" s="52" t="inlineStr">
        <is>
          <t xml:space="preserve">OC25-251004857 </t>
        </is>
      </c>
      <c r="E421" s="126" t="n">
        <v>44569</v>
      </c>
      <c r="F421" s="52" t="inlineStr">
        <is>
          <t>OC25-251004042</t>
        </is>
      </c>
      <c r="G421" s="50" t="inlineStr">
        <is>
          <t>OC25-251004857 - REP-IT OC25-251004042 - INADHOC O25000355 VOLUME CAT</t>
        </is>
      </c>
      <c r="H421" s="50" t="inlineStr">
        <is>
          <t>INADHOC</t>
        </is>
      </c>
      <c r="I421" s="50" t="inlineStr">
        <is>
          <t>Manel</t>
        </is>
      </c>
      <c r="J421" s="50" t="inlineStr">
        <is>
          <t>Pablo</t>
        </is>
      </c>
      <c r="K421" s="50" t="inlineStr">
        <is>
          <t>Transporte</t>
        </is>
      </c>
      <c r="L421" s="50" t="e">
        <v>#REF!</v>
      </c>
      <c r="M421" s="54" t="inlineStr">
        <is>
          <t xml:space="preserve">Hablar con la empresa de transporte. </t>
        </is>
      </c>
      <c r="N421" s="50" t="inlineStr">
        <is>
          <t>Fabricar de nuevo la pieza dañada y enviarla</t>
        </is>
      </c>
      <c r="O421" s="47" t="inlineStr">
        <is>
          <t xml:space="preserve">Jose Damian Robledillo de Inadhoc nos comunica el estado del material recibido, se trata de un modelo de volume EW238 dañado (Punzado y con una mancha negra, como si las patas del torito) </t>
        </is>
      </c>
      <c r="P421" s="98" t="n">
        <v>368.5</v>
      </c>
      <c r="Q421" s="99" t="n"/>
      <c r="R421" s="99" t="n"/>
      <c r="S421" s="50" t="e">
        <v>#REF!</v>
      </c>
    </row>
    <row r="422" ht="45" customHeight="1">
      <c r="A422" s="55" t="inlineStr">
        <is>
          <t>CP424</t>
        </is>
      </c>
      <c r="B422" s="55" t="inlineStr">
        <is>
          <t>ABIERTA</t>
        </is>
      </c>
      <c r="C422" s="56" t="n">
        <v>45897</v>
      </c>
      <c r="D422" s="57" t="inlineStr">
        <is>
          <t>OC25-251004874</t>
        </is>
      </c>
      <c r="E422" s="125" t="n">
        <v>45867</v>
      </c>
      <c r="F422" s="57" t="inlineStr">
        <is>
          <t>OC25-251002875</t>
        </is>
      </c>
      <c r="G422" s="55" t="inlineStr">
        <is>
          <t>OC25-251004874 - REP-ES 251002875 BIOMERIEUX ST VULBAS_KDA_ECONORDIK_INTER_FR</t>
        </is>
      </c>
      <c r="H422" s="55" t="inlineStr">
        <is>
          <t>KDA CONSEILS</t>
        </is>
      </c>
      <c r="I422" s="55" t="inlineStr">
        <is>
          <t>Sylvain</t>
        </is>
      </c>
      <c r="J422" s="55" t="inlineStr">
        <is>
          <t>Rashli</t>
        </is>
      </c>
      <c r="K422" s="55" t="inlineStr">
        <is>
          <t>Error estandarización</t>
        </is>
      </c>
      <c r="L422" s="55" t="e">
        <v>#REF!</v>
      </c>
      <c r="M422" s="59" t="inlineStr">
        <is>
          <t>Revisar todos los documentos de trello, hoja de taller, DXF, etc.</t>
        </is>
      </c>
      <c r="N422" s="55" t="inlineStr">
        <is>
          <t>Enviar los paneles ECONordik nuevamente con la trasera curva.</t>
        </is>
      </c>
      <c r="O422" s="46" t="inlineStr">
        <is>
          <t>El cliente KDA a través de Sylvain nos pide 7 ECONordik curvos. Se hace la hoaj de pedido dibujando los biseles para curvar el panel y cuando el material le llega al cliente, para su soprpresa los paneles eran rectos.</t>
        </is>
      </c>
      <c r="P422" s="101" t="n">
        <v>1008</v>
      </c>
      <c r="Q422" s="102" t="n"/>
      <c r="R422" s="102" t="inlineStr">
        <is>
          <t>REVISADO</t>
        </is>
      </c>
      <c r="S422" s="55" t="e">
        <v>#REF!</v>
      </c>
    </row>
    <row r="423" ht="30" customHeight="1">
      <c r="A423" s="50" t="inlineStr">
        <is>
          <t>CP425</t>
        </is>
      </c>
      <c r="B423" s="50" t="n"/>
      <c r="C423" s="51" t="n">
        <v>45897</v>
      </c>
      <c r="D423" s="52" t="inlineStr">
        <is>
          <t>OC25-251004894</t>
        </is>
      </c>
      <c r="E423" s="126" t="n">
        <v>45880</v>
      </c>
      <c r="F423" s="52" t="inlineStr">
        <is>
          <t xml:space="preserve"> OC25-251003739</t>
        </is>
      </c>
      <c r="G423" s="50" t="inlineStr">
        <is>
          <t>OC25-251004894 - REP-FPT  OC25-251003739 SARENET OFICINAS MAD</t>
        </is>
      </c>
      <c r="H423" s="50" t="inlineStr">
        <is>
          <t>SARENET</t>
        </is>
      </c>
      <c r="I423" s="50" t="inlineStr">
        <is>
          <t>MARC</t>
        </is>
      </c>
      <c r="J423" s="50" t="inlineStr">
        <is>
          <t>Belén</t>
        </is>
      </c>
      <c r="K423" s="50" t="inlineStr">
        <is>
          <t>Falta Paneles Técnico</t>
        </is>
      </c>
      <c r="L423" s="50" t="e">
        <v>#REF!</v>
      </c>
      <c r="M423" s="54" t="inlineStr">
        <is>
          <t>Poner unidades en el ppto y revisar bien dxf</t>
        </is>
      </c>
      <c r="N423" s="50" t="inlineStr">
        <is>
          <t>enviar 20 ud de Quadrilateral especial</t>
        </is>
      </c>
      <c r="O423" s="47" t="inlineStr">
        <is>
          <t xml:space="preserve">Se valoran 44 ud de Quadrilateral de medida y grosor especial. Se suministran 24 ud porque se indican 12 paneles en lugar de 22 </t>
        </is>
      </c>
      <c r="P423" s="98" t="n">
        <v>0</v>
      </c>
      <c r="Q423" s="99" t="n"/>
      <c r="R423" s="99" t="n"/>
      <c r="S423" s="50" t="e">
        <v>#REF!</v>
      </c>
    </row>
    <row r="424" ht="45" customHeight="1">
      <c r="A424" s="55" t="inlineStr">
        <is>
          <t>CP426</t>
        </is>
      </c>
      <c r="C424" s="56" t="n">
        <v>45901</v>
      </c>
      <c r="D424" s="57" t="inlineStr">
        <is>
          <t>OC25-251004928</t>
        </is>
      </c>
      <c r="E424" s="125" t="n">
        <v>45882</v>
      </c>
      <c r="F424" s="57" t="inlineStr">
        <is>
          <t>OC25-251003724</t>
        </is>
      </c>
      <c r="G424" s="55" t="inlineStr">
        <is>
          <t>OC25-251004928 - REP-ERT OC25-251003724 - SINECO CIRCULOS FOAM COLEGIO SIGLO XXI MAD</t>
        </is>
      </c>
      <c r="H424" s="55" t="inlineStr">
        <is>
          <t>Ana Salamanca</t>
        </is>
      </c>
      <c r="I424" s="55" t="inlineStr">
        <is>
          <t>Israel</t>
        </is>
      </c>
      <c r="J424" s="55" t="inlineStr">
        <is>
          <t>MªÁngeles</t>
        </is>
      </c>
      <c r="K424" s="55" t="inlineStr">
        <is>
          <t>Error técnico</t>
        </is>
      </c>
      <c r="L424" s="55" t="e">
        <v>#REF!</v>
      </c>
      <c r="M424" s="59" t="n"/>
      <c r="N424" s="55" t="inlineStr">
        <is>
          <t>Volver a enviar los paneles y recoger los que estaban mal</t>
        </is>
      </c>
      <c r="O424" s="46" t="inlineStr">
        <is>
          <t>Se valoran circulos de FOAM pero no se apunta en el presupuesto y cuando se pasa a pedido, no se tiene en cuenta que sean circulos y se suministran cuadrados de foam</t>
        </is>
      </c>
      <c r="P424" s="101" t="n">
        <v>2840.93</v>
      </c>
      <c r="Q424" s="102" t="n"/>
      <c r="R424" s="102" t="n"/>
      <c r="S424" s="55" t="e">
        <v>#REF!</v>
      </c>
    </row>
    <row r="425" ht="30" customHeight="1">
      <c r="A425" s="50" t="inlineStr">
        <is>
          <t>CP427</t>
        </is>
      </c>
      <c r="B425" s="50" t="inlineStr">
        <is>
          <t>ABIERTA</t>
        </is>
      </c>
      <c r="C425" s="51" t="n">
        <v>45902</v>
      </c>
      <c r="D425" s="52" t="n"/>
      <c r="E425" s="126" t="n">
        <v>45887</v>
      </c>
      <c r="F425" s="52" t="inlineStr">
        <is>
          <t>OC25-251003988</t>
        </is>
      </c>
      <c r="G425" s="50" t="n"/>
      <c r="H425" s="50" t="inlineStr">
        <is>
          <t>AGL DIFUSSION</t>
        </is>
      </c>
      <c r="I425" s="50" t="inlineStr">
        <is>
          <t>Sylvain</t>
        </is>
      </c>
      <c r="J425" s="50" t="inlineStr">
        <is>
          <t>Houda</t>
        </is>
      </c>
      <c r="K425" s="50" t="inlineStr">
        <is>
          <t>Error estandarización</t>
        </is>
      </c>
      <c r="L425" s="50" t="e">
        <v>#REF!</v>
      </c>
      <c r="M425" s="54" t="inlineStr">
        <is>
          <t>Revisar todos los documentos de trello, hoja de taller, DXF, etc.</t>
        </is>
      </c>
      <c r="N425" s="50" t="inlineStr">
        <is>
          <t>Cortar los ECONordik a medida in situ.</t>
        </is>
      </c>
      <c r="O425" s="47" t="inlineStr">
        <is>
          <t xml:space="preserve">El cliente AGL nos solitia 3 ECOnordiks curvos cortados a medida. En este caso se realizaron los bislee spara curvar, pero los paneles se mandaron a medida completa. </t>
        </is>
      </c>
      <c r="P425" s="98" t="n"/>
      <c r="Q425" s="99" t="n"/>
      <c r="R425" s="99" t="inlineStr">
        <is>
          <t>REVISADO</t>
        </is>
      </c>
      <c r="S425" s="50" t="e">
        <v>#REF!</v>
      </c>
    </row>
    <row r="426" ht="45" customHeight="1">
      <c r="A426" s="55" t="inlineStr">
        <is>
          <t>CP428</t>
        </is>
      </c>
      <c r="B426" s="55" t="inlineStr">
        <is>
          <t>ABIERTA</t>
        </is>
      </c>
      <c r="C426" s="56" t="n">
        <v>45905</v>
      </c>
      <c r="D426" s="57" t="inlineStr">
        <is>
          <t>OC-25-251005074</t>
        </is>
      </c>
      <c r="E426" s="125" t="n">
        <v>45852</v>
      </c>
      <c r="F426" s="57" t="inlineStr">
        <is>
          <t>OC25-251002777</t>
        </is>
      </c>
      <c r="G426" s="55" t="inlineStr">
        <is>
          <t>OC-25-251005074- REP-FPT OC25-251002777 - ABATON BAFFLES FERNANDO EL SANTO 14 PALACETE MAD</t>
        </is>
      </c>
      <c r="H426" s="55" t="inlineStr">
        <is>
          <t>ABATON</t>
        </is>
      </c>
      <c r="I426" s="55" t="inlineStr">
        <is>
          <t>Ricardo</t>
        </is>
      </c>
      <c r="J426" s="55" t="inlineStr">
        <is>
          <t>Ángela</t>
        </is>
      </c>
      <c r="K426" s="55" t="inlineStr">
        <is>
          <t>Falta Paneles Técnico</t>
        </is>
      </c>
      <c r="L426" s="55" t="e">
        <v>#REF!</v>
      </c>
      <c r="M426" s="59" t="inlineStr">
        <is>
          <t>Enviar piezas cobradas que no las tiene el cliente</t>
        </is>
      </c>
      <c r="N426" s="55" t="inlineStr">
        <is>
          <t>En pedidos así, revisar varias veces el dxf. Ahora será de gran ayuda la herramienta creada por MA.</t>
        </is>
      </c>
      <c r="O426" s="46" t="inlineStr">
        <is>
          <t xml:space="preserve">Faltan baffles. Es un pedido de 110 paneles cortados en baffles personalizados en alto y largo ( + de 1000 piezas). Ángela pidió ayuda con archivo de corte a mariangels y andrea y no lo revisó correctamente. Faltan algunos baffles. </t>
        </is>
      </c>
      <c r="P426" s="101" t="n">
        <v>0</v>
      </c>
      <c r="Q426" s="102" t="n"/>
      <c r="R426" s="102" t="n"/>
      <c r="S426" s="55" t="e">
        <v>#REF!</v>
      </c>
    </row>
    <row r="427" ht="45" customHeight="1">
      <c r="A427" s="50" t="inlineStr">
        <is>
          <t>CP429</t>
        </is>
      </c>
      <c r="B427" s="50" t="inlineStr">
        <is>
          <t>ABIERTA</t>
        </is>
      </c>
      <c r="C427" s="51" t="n">
        <v>45909</v>
      </c>
      <c r="D427" s="52" t="inlineStr">
        <is>
          <t>OC25-251005138</t>
        </is>
      </c>
      <c r="E427" s="126" t="n">
        <v>45897</v>
      </c>
      <c r="F427" s="52" t="inlineStr">
        <is>
          <t>OC25-251004187</t>
        </is>
      </c>
      <c r="G427" s="50" t="inlineStr">
        <is>
          <t>OC25-251005138 - REP-IT OC25-251004187 - TETRIS CLOUDS SENNDER CAT</t>
        </is>
      </c>
      <c r="H427" s="50" t="inlineStr">
        <is>
          <t>TETRIS</t>
        </is>
      </c>
      <c r="I427" s="50" t="inlineStr">
        <is>
          <t>Manel</t>
        </is>
      </c>
      <c r="J427" s="50" t="inlineStr">
        <is>
          <t>Mónica</t>
        </is>
      </c>
      <c r="K427" s="50" t="inlineStr">
        <is>
          <t>Transporte</t>
        </is>
      </c>
      <c r="L427" s="50" t="e">
        <v>#REF!</v>
      </c>
      <c r="M427" s="54" t="inlineStr">
        <is>
          <t>Volver a enviar los anclajes al cliente</t>
        </is>
      </c>
      <c r="N427" s="50" t="inlineStr">
        <is>
          <t>Unir los anclajes con el bulto de los paneles</t>
        </is>
      </c>
      <c r="O427" s="47" t="inlineStr">
        <is>
          <t>La agencia de transporte ha perdido el bulto de los anclajes. Como el cliente los necesita con urgencia, se han vuelto a enviar, de forma que cuando encuentren los anclajes, deberán traerlos de regreso a ECOcero.</t>
        </is>
      </c>
      <c r="P427" s="98" t="n">
        <v>718.74</v>
      </c>
      <c r="Q427" s="99" t="n"/>
      <c r="R427" s="99" t="n"/>
      <c r="S427" s="50" t="e">
        <v>#REF!</v>
      </c>
    </row>
    <row r="428" ht="45" customHeight="1">
      <c r="A428" s="55" t="inlineStr">
        <is>
          <t>CP430</t>
        </is>
      </c>
      <c r="B428" s="55" t="inlineStr">
        <is>
          <t>ABIERTA</t>
        </is>
      </c>
      <c r="C428" s="56" t="n">
        <v>45910</v>
      </c>
      <c r="D428" s="57" t="inlineStr">
        <is>
          <t>OC25-251005189</t>
        </is>
      </c>
      <c r="E428" s="125" t="n">
        <v>45861</v>
      </c>
      <c r="F428" s="57" t="inlineStr">
        <is>
          <t>OC25-251003898</t>
        </is>
      </c>
      <c r="G428" s="55" t="inlineStr">
        <is>
          <t>OC25-251005189 - REP-PRO OC25-251003898 BIGARA PC 11009-2025230 REF DERIO ECOBASIC PV</t>
        </is>
      </c>
      <c r="H428" s="55" t="inlineStr">
        <is>
          <t>BIGARA</t>
        </is>
      </c>
      <c r="I428" s="55" t="inlineStr">
        <is>
          <t>Jon Rioboo</t>
        </is>
      </c>
      <c r="J428" s="55" t="inlineStr">
        <is>
          <t>Rashli</t>
        </is>
      </c>
      <c r="K428" s="55" t="inlineStr">
        <is>
          <t>Proveedor</t>
        </is>
      </c>
      <c r="L428" s="55" t="e">
        <v>#REF!</v>
      </c>
      <c r="M428" s="59" t="inlineStr">
        <is>
          <t>Revisar los paneles y descartar los que tengan defectos de serie</t>
        </is>
      </c>
      <c r="N428" s="55" t="inlineStr">
        <is>
          <t>Volver a enviar los paneles defectuosos</t>
        </is>
      </c>
      <c r="O428" s="46" t="inlineStr">
        <is>
          <t>El cliente detecta una mancha en uno de los paneles que no le cuadra con la estética del panel por lo que pide su reposición</t>
        </is>
      </c>
      <c r="P428" s="101" t="n">
        <v>209.09</v>
      </c>
      <c r="Q428" s="102" t="n"/>
      <c r="R428" s="102" t="inlineStr">
        <is>
          <t>REVISADO</t>
        </is>
      </c>
      <c r="S428" s="55" t="e">
        <v>#REF!</v>
      </c>
    </row>
    <row r="429" ht="45" customHeight="1">
      <c r="A429" s="50" t="inlineStr">
        <is>
          <t>CP431</t>
        </is>
      </c>
      <c r="B429" s="50" t="inlineStr">
        <is>
          <t>ABIERTA</t>
        </is>
      </c>
      <c r="C429" s="51" t="n">
        <v>45910</v>
      </c>
      <c r="D429" s="52" t="inlineStr">
        <is>
          <t>OC25-251005240</t>
        </is>
      </c>
      <c r="E429" s="126" t="n">
        <v>45827</v>
      </c>
      <c r="F429" s="52" t="inlineStr">
        <is>
          <t>OC25-251002893</t>
        </is>
      </c>
      <c r="G429" s="50" t="inlineStr">
        <is>
          <t>OC25-251005240 - REP-MP 251002893 COMMANDE 0118181_PRO BUREAU AMENAGEMENT_V-CUT_INTER_FR</t>
        </is>
      </c>
      <c r="H429" s="50" t="inlineStr">
        <is>
          <t>PB</t>
        </is>
      </c>
      <c r="I429" s="50" t="inlineStr">
        <is>
          <t>Sylvain</t>
        </is>
      </c>
      <c r="J429" s="50" t="inlineStr">
        <is>
          <t>Rashli</t>
        </is>
      </c>
      <c r="K429" s="50" t="inlineStr">
        <is>
          <t>Defecto Materia Prima</t>
        </is>
      </c>
      <c r="L429" s="50" t="e">
        <v>#REF!</v>
      </c>
      <c r="M429" s="54" t="inlineStr">
        <is>
          <t>Confirmar el color solicitado por el cliente</t>
        </is>
      </c>
      <c r="N429" s="50" t="inlineStr">
        <is>
          <t>Reenviar los paneles en el color ECO-140</t>
        </is>
      </c>
      <c r="O429" s="47" t="inlineStr">
        <is>
          <t>EL cliente tenía unas muestras defectuosas y solicitó el ECO-124 pensando que le llegarían paneles turquesa</t>
        </is>
      </c>
      <c r="P429" s="98" t="n">
        <v>1815</v>
      </c>
      <c r="Q429" s="99" t="n"/>
      <c r="R429" s="99" t="n"/>
      <c r="S429" s="50" t="e">
        <v>#REF!</v>
      </c>
    </row>
    <row r="430" ht="60" customHeight="1">
      <c r="A430" s="55" t="inlineStr">
        <is>
          <t>CP432</t>
        </is>
      </c>
      <c r="C430" s="56" t="inlineStr">
        <is>
          <t>17/092025</t>
        </is>
      </c>
      <c r="D430" s="57" t="inlineStr">
        <is>
          <t>OC25-251005332</t>
        </is>
      </c>
      <c r="E430" s="125" t="n"/>
      <c r="F430" s="57" t="inlineStr">
        <is>
          <t xml:space="preserve">OC25-251004386 </t>
        </is>
      </c>
      <c r="G430" s="55" t="inlineStr">
        <is>
          <t>OC25-251005332 - REP-ERT  OC25-251004386 - EQUIPAVILES ECOWALL VCUT PARA COMPLETAR AST</t>
        </is>
      </c>
      <c r="H430" s="55" t="inlineStr">
        <is>
          <t>EQUIPAVILES</t>
        </is>
      </c>
      <c r="I430" s="55" t="inlineStr">
        <is>
          <t>Covadonga</t>
        </is>
      </c>
      <c r="J430" s="55" t="inlineStr">
        <is>
          <t>Andrea</t>
        </is>
      </c>
      <c r="K430" s="55" t="inlineStr">
        <is>
          <t>Error técnico</t>
        </is>
      </c>
      <c r="L430" s="55" t="e">
        <v>#REF!</v>
      </c>
      <c r="M430" s="59" t="inlineStr">
        <is>
          <t>Revisar bien la posición de los paneles para ver dónde hay que cortarlos</t>
        </is>
      </c>
      <c r="N430" s="55" t="inlineStr">
        <is>
          <t>Reenviar los paneles cortados en el color ECO107</t>
        </is>
      </c>
      <c r="O430" s="46" t="inlineStr">
        <is>
          <t>El problema se originó porque el cliente instaló los paneles modelo EW220 invertidos (cabeza abajo), y al tramitarse un segundo pedido como continuación del primero, no se detectó esta orientación invertida.
Esto generó un desfase visual al unir los paneles nuevos con los ya instalados.</t>
        </is>
      </c>
      <c r="P430" s="101" t="n">
        <v>440</v>
      </c>
      <c r="Q430" s="102" t="n"/>
      <c r="R430" s="102" t="n"/>
      <c r="S430" s="55" t="e">
        <v>#REF!</v>
      </c>
    </row>
    <row r="431" ht="60" customHeight="1">
      <c r="A431" s="50" t="inlineStr">
        <is>
          <t>CP433</t>
        </is>
      </c>
      <c r="B431" s="50" t="n"/>
      <c r="C431" s="51" t="n">
        <v>45918</v>
      </c>
      <c r="D431" s="52" t="inlineStr">
        <is>
          <t>OC25-251004643</t>
        </is>
      </c>
      <c r="E431" s="126" t="n">
        <v>45915</v>
      </c>
      <c r="F431" s="52" t="inlineStr">
        <is>
          <t>OC25-251005357</t>
        </is>
      </c>
      <c r="G431" s="50" t="inlineStr">
        <is>
          <t>OC25-251005357 - REP-IT OC25-251004643 cav izzon mad</t>
        </is>
      </c>
      <c r="H431" s="50" t="inlineStr">
        <is>
          <t>CAV AUDIOVIDEO DOMOTICA</t>
        </is>
      </c>
      <c r="I431" s="50" t="inlineStr">
        <is>
          <t>RICARDO</t>
        </is>
      </c>
      <c r="J431" s="50" t="inlineStr">
        <is>
          <t>Belén</t>
        </is>
      </c>
      <c r="K431" s="50" t="inlineStr">
        <is>
          <t>Transporte</t>
        </is>
      </c>
      <c r="L431" s="50" t="e">
        <v>#REF!</v>
      </c>
      <c r="M431" s="136" t="inlineStr">
        <is>
          <t>Reposición urgente de la caja de colas: Se repuso de manera inmediata la caja dañada.</t>
        </is>
      </c>
      <c r="N431" s="137" t="inlineStr">
        <is>
          <t>Reposición urgente del material dañado: Se repuso de inmediato la caja de colas dañada para asegurar que el cliente tuviera suficiente material para continuar con la instalación.</t>
        </is>
      </c>
      <c r="O431" s="47" t="inlineStr">
        <is>
          <t>El transporte no trató adecuadamente la caja con el material debido a la falta de protocolos específicos para el manejo de productos frágiles durante el proceso de carga, descarga y traslado</t>
        </is>
      </c>
      <c r="P431" s="98" t="n">
        <v>187.2</v>
      </c>
      <c r="Q431" s="99" t="n"/>
      <c r="R431" s="99" t="n"/>
      <c r="S431" s="50" t="e">
        <v>#REF!</v>
      </c>
    </row>
    <row r="432" ht="30" customHeight="1">
      <c r="A432" s="55" t="inlineStr">
        <is>
          <t>CP434</t>
        </is>
      </c>
      <c r="C432" s="56" t="n">
        <v>45923</v>
      </c>
      <c r="D432" s="57" t="inlineStr">
        <is>
          <t>OC25-251005509</t>
        </is>
      </c>
      <c r="E432" s="125" t="n">
        <v>45853</v>
      </c>
      <c r="F432" s="57" t="inlineStr">
        <is>
          <t>OC25-251002303</t>
        </is>
      </c>
      <c r="G432" s="55" t="inlineStr">
        <is>
          <t>OC25-251005509 - REP-PI OC25-251002303 - CIRCUITO DE CHESTE_PALLARDO_CV</t>
        </is>
      </c>
      <c r="H432" s="55" t="inlineStr">
        <is>
          <t>PALLARDO SA</t>
        </is>
      </c>
      <c r="I432" s="55" t="inlineStr">
        <is>
          <t>Javier Hernandez</t>
        </is>
      </c>
      <c r="J432" s="55" t="inlineStr">
        <is>
          <t>MªÁngeles</t>
        </is>
      </c>
      <c r="K432" s="55" t="inlineStr">
        <is>
          <t>Pintura</t>
        </is>
      </c>
      <c r="L432" s="55" t="e">
        <v>#REF!</v>
      </c>
      <c r="M432" s="79" t="inlineStr">
        <is>
          <t>Reposición del material pintado a ambas caras</t>
        </is>
      </c>
      <c r="N432" s="55" t="inlineStr">
        <is>
          <t>Reposicion del material</t>
        </is>
      </c>
      <c r="O432" s="46" t="inlineStr">
        <is>
          <t>Eran Ecoworkings pintados y se han pintado solo a una cara</t>
        </is>
      </c>
      <c r="P432" s="101" t="n">
        <v>4139</v>
      </c>
      <c r="Q432" s="102" t="n"/>
      <c r="R432" s="102" t="n"/>
      <c r="S432" s="55" t="e">
        <v>#REF!</v>
      </c>
    </row>
    <row r="433" ht="45" customHeight="1">
      <c r="A433" s="50" t="inlineStr">
        <is>
          <t>CP435</t>
        </is>
      </c>
      <c r="B433" s="50" t="n"/>
      <c r="C433" s="51" t="n">
        <v>45925</v>
      </c>
      <c r="D433" s="52" t="inlineStr">
        <is>
          <t>OC25-251005592</t>
        </is>
      </c>
      <c r="E433" s="126" t="n">
        <v>45785</v>
      </c>
      <c r="F433" s="52" t="inlineStr">
        <is>
          <t>OC25-251001085</t>
        </is>
      </c>
      <c r="G433" s="50" t="inlineStr">
        <is>
          <t>OC25-251005592 - REP-INST. OC25-251001085 - 1612. 02. AMPL P1 HQ AAREON_BIG C_INTER_GER</t>
        </is>
      </c>
      <c r="H433" s="50" t="n"/>
      <c r="I433" s="50" t="inlineStr">
        <is>
          <t>Ivan</t>
        </is>
      </c>
      <c r="J433" s="50" t="inlineStr">
        <is>
          <t>Luis</t>
        </is>
      </c>
      <c r="K433" s="50" t="inlineStr">
        <is>
          <t>Error en la instalación</t>
        </is>
      </c>
      <c r="L433" s="50" t="e">
        <v>#REF!</v>
      </c>
      <c r="M433" s="78" t="inlineStr">
        <is>
          <t>Reponer pared entera</t>
        </is>
      </c>
      <c r="N433" s="50" t="inlineStr">
        <is>
          <t>Reponer pared entera</t>
        </is>
      </c>
      <c r="O433" s="47" t="inlineStr">
        <is>
          <t>Debido a cortes en instalacion una pared no se pudo completar. Por falta de material del mismo lote se debe de reponer pared entera</t>
        </is>
      </c>
      <c r="P433" s="98" t="n">
        <v>1781.25</v>
      </c>
      <c r="Q433" s="99" t="n"/>
      <c r="R433" s="99" t="n"/>
      <c r="S433" s="50" t="e">
        <v>#REF!</v>
      </c>
    </row>
    <row r="434" ht="75" customHeight="1">
      <c r="A434" s="55" t="inlineStr">
        <is>
          <t>CP436</t>
        </is>
      </c>
      <c r="B434" s="55" t="inlineStr">
        <is>
          <t>ABIERTA</t>
        </is>
      </c>
      <c r="C434" s="56" t="n">
        <v>45931</v>
      </c>
      <c r="D434" s="57" t="inlineStr">
        <is>
          <t>OC25-251005727</t>
        </is>
      </c>
      <c r="E434" s="125" t="n">
        <v>45923</v>
      </c>
      <c r="F434" s="57" t="inlineStr">
        <is>
          <t>OC25-251004593</t>
        </is>
      </c>
      <c r="G434" s="55" t="inlineStr">
        <is>
          <t>OC25-251005727 - REP-CLI OC25-251004593 - LA PREEMINENTE O250158 BAFFLE FOAM CAT</t>
        </is>
      </c>
      <c r="H434" s="55" t="inlineStr">
        <is>
          <t>LA PREEMINENTE</t>
        </is>
      </c>
      <c r="I434" s="55" t="inlineStr">
        <is>
          <t>Manel</t>
        </is>
      </c>
      <c r="J434" s="55" t="inlineStr">
        <is>
          <t>Mónica</t>
        </is>
      </c>
      <c r="K434" s="55" t="inlineStr">
        <is>
          <t>Defecto por cliente</t>
        </is>
      </c>
      <c r="L434" s="55" t="e">
        <v>#REF!</v>
      </c>
      <c r="M434" s="59" t="inlineStr">
        <is>
          <t>Reposición de 24 paneles 1180x300x40 mm de foam pintado de blanco a dos caras y cantos.</t>
        </is>
      </c>
      <c r="N434" s="55" t="inlineStr">
        <is>
          <t>Hacer fotos antes y después de empaquetar todos los bultos para justificar con el cliente que se ha enviado todo el material.</t>
        </is>
      </c>
      <c r="O434" s="46" t="inlineStr">
        <is>
          <t>La cliente informó de que le habían faltado 12 piezas de 900x300 y 15+27 piezas de 1180x300. Tras consultarlo a fábrica, nos aseguran de que se han enviado incluso paneles de más para cubrir posibles fallos en la instalación o transporte. Después de que la cliente revise el material del que dispone, encuentra las piezas de longitud 900 mm, pero indica que le siguen faltan 24 piezas de 1180 mm.</t>
        </is>
      </c>
      <c r="P434" s="101" t="n">
        <v>437.63</v>
      </c>
      <c r="Q434" s="102" t="n"/>
      <c r="R434" s="102" t="n"/>
      <c r="S434" s="55" t="e">
        <v>#REF!</v>
      </c>
    </row>
    <row r="435" ht="30" customHeight="1">
      <c r="A435" s="50" t="inlineStr">
        <is>
          <t>CP437</t>
        </is>
      </c>
      <c r="B435" s="50" t="inlineStr">
        <is>
          <t>ABIERTA</t>
        </is>
      </c>
      <c r="C435" s="51" t="n">
        <v>45931</v>
      </c>
      <c r="D435" s="52" t="inlineStr">
        <is>
          <t>OC25-251005757</t>
        </is>
      </c>
      <c r="E435" s="126" t="n">
        <v>45894</v>
      </c>
      <c r="F435" s="52" t="inlineStr">
        <is>
          <t>OC25-251003923</t>
        </is>
      </c>
      <c r="G435" s="50" t="inlineStr">
        <is>
          <t>OC25-251005757 - REP-ERT OC25-251003923 GRUPO EL CASTILLO CV</t>
        </is>
      </c>
      <c r="H435" s="50" t="inlineStr">
        <is>
          <t>LA MORENICA</t>
        </is>
      </c>
      <c r="I435" s="50" t="inlineStr">
        <is>
          <t>Jorge F.</t>
        </is>
      </c>
      <c r="J435" s="50" t="inlineStr">
        <is>
          <t>David</t>
        </is>
      </c>
      <c r="K435" s="50" t="inlineStr">
        <is>
          <t>Error Trello técnico</t>
        </is>
      </c>
      <c r="L435" s="50" t="e">
        <v>#REF!</v>
      </c>
      <c r="M435" s="54" t="inlineStr">
        <is>
          <t>Reposición uds econordik</t>
        </is>
      </c>
      <c r="N435" s="50" t="inlineStr">
        <is>
          <t>Hacer comparativa previa canales</t>
        </is>
      </c>
      <c r="O435" s="47" t="inlineStr">
        <is>
          <t>La información en trello de una de las partidas era errónea</t>
        </is>
      </c>
      <c r="P435" s="98" t="n">
        <v>1350</v>
      </c>
      <c r="Q435" s="99" t="n"/>
      <c r="R435" s="99" t="n"/>
      <c r="S435" s="50" t="e">
        <v>#REF!</v>
      </c>
    </row>
    <row r="436" ht="60" customHeight="1">
      <c r="A436" s="55" t="inlineStr">
        <is>
          <t>CP438</t>
        </is>
      </c>
      <c r="B436" s="55" t="inlineStr">
        <is>
          <t>ABIERTA</t>
        </is>
      </c>
      <c r="C436" s="56" t="n">
        <v>45933</v>
      </c>
      <c r="D436" s="57" t="inlineStr">
        <is>
          <t>OC25-251005825</t>
        </is>
      </c>
      <c r="E436" s="125" t="n">
        <v>45925</v>
      </c>
      <c r="F436" s="57" t="inlineStr">
        <is>
          <t>OC25-251005100</t>
        </is>
      </c>
      <c r="G436" s="55" t="inlineStr">
        <is>
          <t>OC25-251005825 SERINAC 704. 00 REP INST 595. 02. AA COPICENTER LAS TABLAS MAD</t>
        </is>
      </c>
      <c r="H436" s="55" t="inlineStr">
        <is>
          <t>Kima Todovision Sl.</t>
        </is>
      </c>
      <c r="I436" s="55" t="inlineStr">
        <is>
          <t>Javier López</t>
        </is>
      </c>
      <c r="J436" s="55" t="inlineStr">
        <is>
          <t>Emilio</t>
        </is>
      </c>
      <c r="K436" s="55" t="inlineStr">
        <is>
          <t>Error en la instalación</t>
        </is>
      </c>
      <c r="L436" s="55" t="e">
        <v>#REF!</v>
      </c>
      <c r="M436" s="59" t="inlineStr">
        <is>
          <t>Reposición del panel afectado</t>
        </is>
      </c>
      <c r="N436" s="55" t="inlineStr">
        <is>
          <t>Guía visual para instaladores no habituales, evaluación de etiquetas de advertencia, refuerzo de contacto técnico en obra, registro como lección aprendida</t>
        </is>
      </c>
      <c r="O436" s="46" t="inlineStr">
        <is>
          <t>Aplicación de adhesivo en la cara visible de un panel Ecowall V-Cut durante la instalación, inutilizándolo. El instalador no familiarizado con el producto no interpretó correctamente las marcas y no consultó por los canales disponibles.</t>
        </is>
      </c>
      <c r="P436" s="101" t="n">
        <v>272</v>
      </c>
      <c r="Q436" s="102" t="n"/>
      <c r="R436" s="102" t="n"/>
      <c r="S436" s="55" t="e">
        <v>#REF!</v>
      </c>
    </row>
    <row r="437" ht="30" customHeight="1">
      <c r="A437" s="50" t="inlineStr">
        <is>
          <t>CP439</t>
        </is>
      </c>
      <c r="B437" s="50" t="inlineStr">
        <is>
          <t>ABIERTA</t>
        </is>
      </c>
      <c r="C437" s="51" t="n">
        <v>45937</v>
      </c>
      <c r="D437" s="52" t="inlineStr">
        <is>
          <t>OC25-251005910</t>
        </is>
      </c>
      <c r="E437" s="126" t="n">
        <v>45908</v>
      </c>
      <c r="F437" s="52" t="inlineStr">
        <is>
          <t>OC25-251002629</t>
        </is>
      </c>
      <c r="G437" s="50" t="inlineStr">
        <is>
          <t>OC25-251005910 - REP-ERT. OC25-251002629 - City Council_PET_ECOwall vcut_INTER_NL</t>
        </is>
      </c>
      <c r="H437" s="50" t="inlineStr">
        <is>
          <t>PET</t>
        </is>
      </c>
      <c r="I437" s="50" t="inlineStr">
        <is>
          <t>ALExander Bakri</t>
        </is>
      </c>
      <c r="J437" s="50" t="inlineStr">
        <is>
          <t>Luis</t>
        </is>
      </c>
      <c r="K437" s="50" t="inlineStr">
        <is>
          <t>Error técnico</t>
        </is>
      </c>
      <c r="L437" s="50" t="e">
        <v>#REF!</v>
      </c>
      <c r="M437" s="54" t="inlineStr">
        <is>
          <t>Reposicion de paneles</t>
        </is>
      </c>
      <c r="N437" s="50" t="inlineStr">
        <is>
          <t>Comprobar mails anteriores para asegurar como hay que enviar los paneles</t>
        </is>
      </c>
      <c r="O437" s="47" t="inlineStr">
        <is>
          <t>No se enviaron los paneles cortados a medida como habia pedido el cliente. El agente no confirmo si se habia que cortar a medida cuando se preguntó</t>
        </is>
      </c>
      <c r="P437" s="98" t="n">
        <v>1867.25</v>
      </c>
      <c r="Q437" s="99" t="n"/>
      <c r="R437" s="99" t="n"/>
      <c r="S437" s="50" t="e">
        <v>#REF!</v>
      </c>
    </row>
    <row r="438" ht="45" customHeight="1">
      <c r="A438" s="55" t="inlineStr">
        <is>
          <t>CP440</t>
        </is>
      </c>
      <c r="C438" s="56" t="n">
        <v>45938</v>
      </c>
      <c r="D438" s="57" t="inlineStr">
        <is>
          <t>OC25-251005925</t>
        </is>
      </c>
      <c r="E438" s="125" t="n">
        <v>45870</v>
      </c>
      <c r="F438" s="57" t="inlineStr">
        <is>
          <t>OC25-251003975</t>
        </is>
      </c>
      <c r="G438" s="55" t="inlineStr">
        <is>
          <t>OC25-251005925 - REP-IT. OC25-251003975 - Tranquilidade_HORACIO COSTA_ECOcloud_INTER_PT</t>
        </is>
      </c>
      <c r="H438" s="55" t="inlineStr">
        <is>
          <t>HORACIO COSTA</t>
        </is>
      </c>
      <c r="I438" s="55" t="inlineStr">
        <is>
          <t>Paulo</t>
        </is>
      </c>
      <c r="J438" s="55" t="inlineStr">
        <is>
          <t>Luis</t>
        </is>
      </c>
      <c r="K438" s="55" t="inlineStr">
        <is>
          <t>Transporte</t>
        </is>
      </c>
      <c r="L438" s="55" t="e">
        <v>#REF!</v>
      </c>
      <c r="M438" s="59" t="inlineStr">
        <is>
          <t>Enviar de nuevo los anclajes</t>
        </is>
      </c>
      <c r="N438" s="55" t="inlineStr">
        <is>
          <t>Enviar de nuevo los anclajes</t>
        </is>
      </c>
      <c r="O438" s="46" t="inlineStr">
        <is>
          <t>Han perdido los anclajes</t>
        </is>
      </c>
      <c r="P438" s="101" t="n">
        <v>234</v>
      </c>
      <c r="Q438" s="102" t="n"/>
      <c r="R438" s="102" t="n"/>
      <c r="S438" s="55" t="e">
        <v>#REF!</v>
      </c>
    </row>
    <row r="439" ht="30" customHeight="1">
      <c r="A439" s="50" t="inlineStr">
        <is>
          <t>CP441</t>
        </is>
      </c>
      <c r="B439" s="50" t="n"/>
      <c r="C439" s="51" t="n">
        <v>45938</v>
      </c>
      <c r="D439" s="52" t="inlineStr">
        <is>
          <t>OC25-251005925</t>
        </is>
      </c>
      <c r="E439" s="126" t="n">
        <v>45937</v>
      </c>
      <c r="F439" s="52" t="inlineStr">
        <is>
          <t>OC25-251003359</t>
        </is>
      </c>
      <c r="G439" s="50" t="inlineStr">
        <is>
          <t>OC25-251005947 REP-DC OC25-251003359 DISTRITO HM PO25153 MAD</t>
        </is>
      </c>
      <c r="H439" s="50" t="inlineStr">
        <is>
          <t>DISTRITO HM</t>
        </is>
      </c>
      <c r="I439" s="50" t="inlineStr">
        <is>
          <t>Ricardo</t>
        </is>
      </c>
      <c r="J439" s="50" t="inlineStr">
        <is>
          <t>Belén</t>
        </is>
      </c>
      <c r="K439" s="50" t="inlineStr">
        <is>
          <t>Defecto por cliente</t>
        </is>
      </c>
      <c r="L439" s="50" t="e">
        <v>#REF!</v>
      </c>
      <c r="M439" s="54" t="inlineStr">
        <is>
          <t>ENVIAR LOS PANELES DEFECTUOSOS Y FALTANTES</t>
        </is>
      </c>
      <c r="N439" s="50" t="inlineStr">
        <is>
          <t>enviar los paneles faltantes y defectuosos</t>
        </is>
      </c>
      <c r="O439" s="77" t="inlineStr">
        <is>
          <t>no existe un protocolo formal de verificación entre Logística y Cliente/Instalador que registre el estado del material a su llegada y facilite la detección temprana de incidencias.</t>
        </is>
      </c>
      <c r="P439" s="98" t="n">
        <v>0</v>
      </c>
      <c r="Q439" s="99" t="n"/>
      <c r="R439" s="99" t="n"/>
      <c r="S439" s="50" t="e">
        <v>#REF!</v>
      </c>
    </row>
    <row r="440" ht="75" customHeight="1">
      <c r="A440" s="55" t="inlineStr">
        <is>
          <t>CP442</t>
        </is>
      </c>
      <c r="B440" s="55" t="inlineStr">
        <is>
          <t>ABIERTA</t>
        </is>
      </c>
      <c r="C440" s="56" t="n">
        <v>45944</v>
      </c>
      <c r="D440" s="57" t="inlineStr">
        <is>
          <t>OC25-251006111</t>
        </is>
      </c>
      <c r="E440" s="125" t="n">
        <v>45898</v>
      </c>
      <c r="F440" s="57" t="inlineStr">
        <is>
          <t>OC25-251004494</t>
        </is>
      </c>
      <c r="G440" s="55" t="inlineStr">
        <is>
          <t>OC25-251006111- REP-ERT OC25-251004494 - RCL MACETEROS CAT</t>
        </is>
      </c>
      <c r="H440" s="55" t="inlineStr">
        <is>
          <t>RCL</t>
        </is>
      </c>
      <c r="I440" s="55" t="inlineStr">
        <is>
          <t>MANEL</t>
        </is>
      </c>
      <c r="J440" s="55" t="inlineStr">
        <is>
          <t>Pablo</t>
        </is>
      </c>
      <c r="K440" s="55" t="inlineStr">
        <is>
          <t>Error técnico</t>
        </is>
      </c>
      <c r="L440" s="55" t="e">
        <v>#REF!</v>
      </c>
      <c r="M440" s="59" t="inlineStr">
        <is>
          <t>Reposición de 2 paneles e12mm cortados a medida para hacer maceteros</t>
        </is>
      </c>
      <c r="N440" s="55" t="inlineStr">
        <is>
          <t>Trasladar toda la información al cliente y hacer un plano de replanteo acotado para que queden claras todas las medidas</t>
        </is>
      </c>
      <c r="O440" s="46" t="inlineStr">
        <is>
          <t>El cliente pedía unos maceteros para colocar encima de unos muebles de 800x450, por lo que los maceteros debían ser de esa medida. A la hora de hacer el archivo de corte, se contempló una base rectangular de 800x450, con una lama perimetral que la recubría. Como la lama tiene un espesor de 12 mm, el conjunto de base y lama se excedía 24 mm de ambas dimensiones, resultando en un macetero de 824x474 mm, quedando fuera del tamaño del mueble.</t>
        </is>
      </c>
      <c r="P440" s="101" t="n">
        <v>601.61</v>
      </c>
      <c r="Q440" s="102" t="n"/>
      <c r="R440" s="102" t="n"/>
      <c r="S440" s="55" t="e">
        <v>#REF!</v>
      </c>
    </row>
    <row r="441" ht="45" customHeight="1">
      <c r="A441" s="50" t="inlineStr">
        <is>
          <t>CP443</t>
        </is>
      </c>
      <c r="B441" s="50" t="n"/>
      <c r="C441" s="51" t="n">
        <v>45945</v>
      </c>
      <c r="D441" s="52" t="inlineStr">
        <is>
          <t>OC25-251006141</t>
        </is>
      </c>
      <c r="E441" s="126" t="n"/>
      <c r="F441" s="52" t="inlineStr">
        <is>
          <t>OC25-251003768</t>
        </is>
      </c>
      <c r="G441" s="50" t="inlineStr">
        <is>
          <t>OC25-251006141 - REP-ERT OC25-251003768 - OFICINES OFICINAS VITROVAL ECONORDIK CV</t>
        </is>
      </c>
      <c r="H441" s="50" t="inlineStr">
        <is>
          <t>OFICINES</t>
        </is>
      </c>
      <c r="I441" s="50" t="inlineStr">
        <is>
          <t>Javier Hernández</t>
        </is>
      </c>
      <c r="J441" s="50" t="inlineStr">
        <is>
          <t>Andrea</t>
        </is>
      </c>
      <c r="K441" s="50" t="inlineStr">
        <is>
          <t>Error técnico</t>
        </is>
      </c>
      <c r="L441" s="50" t="e">
        <v>#REF!</v>
      </c>
      <c r="M441" s="54" t="inlineStr">
        <is>
          <t>Se repusieron los paneles erróneos fabricados con melamina “roble nature” por los correctos en melamina “roble”, tal como solicitó el cliente.</t>
        </is>
      </c>
      <c r="N441" s="50" t="inlineStr">
        <is>
          <t>Reposición inmediata de todos los paneles con el material correcto (melamina de roble).</t>
        </is>
      </c>
      <c r="O441" s="77" t="inlineStr">
        <is>
          <t>El error se produjo porque se utilizó melamina “roble nature” en lugar de “roble”, debido a la costumbre de emplear ese acabado en la mayoría de los pedidos anteriores.</t>
        </is>
      </c>
      <c r="P441" s="98" t="n"/>
      <c r="Q441" s="99" t="n"/>
      <c r="R441" s="99" t="n"/>
      <c r="S441" s="50" t="e">
        <v>#REF!</v>
      </c>
    </row>
    <row r="442" ht="60" customHeight="1">
      <c r="A442" s="55" t="inlineStr">
        <is>
          <t>CP444</t>
        </is>
      </c>
      <c r="C442" s="56" t="n">
        <v>45945</v>
      </c>
      <c r="D442" s="57" t="inlineStr">
        <is>
          <t>OC25-251005895</t>
        </is>
      </c>
      <c r="E442" s="125" t="n">
        <v>45894</v>
      </c>
      <c r="F442" s="57" t="inlineStr">
        <is>
          <t>OC25-251003923</t>
        </is>
      </c>
      <c r="G442" s="55" t="inlineStr">
        <is>
          <t>OC25-251005895 - REP-INST. GRUPO EL CASTILLO PANELES FALT CV</t>
        </is>
      </c>
      <c r="H442" s="55" t="inlineStr">
        <is>
          <t>LA MORENICA</t>
        </is>
      </c>
      <c r="I442" s="138" t="inlineStr">
        <is>
          <t>Jorge Fdez</t>
        </is>
      </c>
      <c r="J442" s="55" t="inlineStr">
        <is>
          <t>David</t>
        </is>
      </c>
      <c r="K442" s="55" t="inlineStr">
        <is>
          <t>Error en la instalación</t>
        </is>
      </c>
      <c r="L442" s="55" t="e">
        <v>#REF!</v>
      </c>
      <c r="M442" s="59" t="inlineStr">
        <is>
          <t>Reponer faltantes</t>
        </is>
      </c>
      <c r="N442" s="55" t="inlineStr">
        <is>
          <t>Reponer faltantes. NOTA: DTO. 100% POR ACCIÓN COMERCIAL. J. FDEZ.</t>
        </is>
      </c>
      <c r="O442" s="106" t="inlineStr">
        <is>
          <t>No se verificaron las especificaciones del pedido con el cliente ni existía un proceso formal de validación interna. Además, la técnica encargada no tenía formación suficiente sobre las diferencias entre ambos materiales y el sistema ECOvalid no permitía integrar correos o documentación adicional para validar detalles técnicos.</t>
        </is>
      </c>
      <c r="P442" s="101" t="n">
        <v>1496</v>
      </c>
      <c r="Q442" s="102" t="n"/>
      <c r="R442" s="102" t="n"/>
      <c r="S442" s="55" t="e">
        <v>#REF!</v>
      </c>
    </row>
    <row r="443" ht="30" customHeight="1">
      <c r="A443" s="55" t="inlineStr">
        <is>
          <t>CP445</t>
        </is>
      </c>
      <c r="B443" s="50" t="n"/>
      <c r="C443" s="51" t="n"/>
      <c r="D443" s="52" t="n"/>
      <c r="E443" s="126" t="n">
        <v>45883</v>
      </c>
      <c r="F443" s="52" t="n"/>
      <c r="G443" s="134" t="inlineStr">
        <is>
          <t>OC25-251003616 - AMPL REP Sala Ristorante Milano_ LADINARREDI_LUMOMESH_INTER_IT</t>
        </is>
      </c>
      <c r="H443" s="50" t="n"/>
      <c r="I443" s="50" t="n"/>
      <c r="J443" s="50" t="inlineStr">
        <is>
          <t>Luis</t>
        </is>
      </c>
      <c r="K443" s="50" t="inlineStr">
        <is>
          <t>Error en la instalación</t>
        </is>
      </c>
      <c r="L443" s="50" t="e">
        <v>#REF!</v>
      </c>
      <c r="M443" s="54" t="n"/>
      <c r="N443" s="50" t="n"/>
      <c r="O443" s="47" t="n"/>
      <c r="P443" s="98" t="n"/>
      <c r="Q443" s="99" t="n"/>
      <c r="R443" s="99" t="n"/>
      <c r="S443" s="50" t="e">
        <v>#REF!</v>
      </c>
    </row>
    <row r="444" ht="45" customHeight="1">
      <c r="A444" s="55" t="inlineStr">
        <is>
          <t>CP446</t>
        </is>
      </c>
      <c r="B444" s="55" t="inlineStr">
        <is>
          <t>ABIERTA</t>
        </is>
      </c>
      <c r="C444" s="56" t="n">
        <v>45950</v>
      </c>
      <c r="D444" s="57" t="inlineStr">
        <is>
          <t>OC25-251005440</t>
        </is>
      </c>
      <c r="E444" s="125" t="n">
        <v>45917</v>
      </c>
      <c r="F444" s="57" t="inlineStr">
        <is>
          <t>OC25-251005203</t>
        </is>
      </c>
      <c r="G444" s="55" t="inlineStr">
        <is>
          <t>OC25-251005440 - REP-CLI OC25-251005203 - ANSE 3G OFFICE REF P519 CAT</t>
        </is>
      </c>
      <c r="H444" s="55" t="inlineStr">
        <is>
          <t>ANSE</t>
        </is>
      </c>
      <c r="I444" s="55" t="inlineStr">
        <is>
          <t>Manel</t>
        </is>
      </c>
      <c r="J444" s="55" t="inlineStr">
        <is>
          <t>Pablo</t>
        </is>
      </c>
      <c r="K444" s="55" t="inlineStr">
        <is>
          <t>Fabricación</t>
        </is>
      </c>
      <c r="L444" s="55" t="e">
        <v>#REF!</v>
      </c>
      <c r="M444" s="59" t="inlineStr">
        <is>
          <t>Reposición de un panel Volume al cliente</t>
        </is>
      </c>
      <c r="N444" s="55" t="inlineStr">
        <is>
          <t>Indicar en la hoja de fabricación de qué forma se deben pegar los paneles dobles cuando no son simétricos.</t>
        </is>
      </c>
      <c r="O444" s="46" t="inlineStr">
        <is>
          <t>El pedido constaba de un panel Volume con diseño personalizado. El panel troquelado se pegó al panel liso por la cara incorrecta, resultando en un panel simétrico a lo que el cliente quería.</t>
        </is>
      </c>
      <c r="P444" s="101" t="n">
        <v>405.35</v>
      </c>
      <c r="Q444" s="102" t="n"/>
      <c r="R444" s="102" t="n"/>
      <c r="S444" s="55" t="e">
        <v>#REF!</v>
      </c>
    </row>
    <row r="445" ht="120" customHeight="1">
      <c r="A445" s="50" t="inlineStr">
        <is>
          <t>CP447</t>
        </is>
      </c>
      <c r="B445" s="50" t="inlineStr">
        <is>
          <t>ABIERTA</t>
        </is>
      </c>
      <c r="C445" s="51" t="n">
        <v>45950</v>
      </c>
      <c r="D445" s="52" t="inlineStr">
        <is>
          <t>OC25-251005566</t>
        </is>
      </c>
      <c r="E445" s="126" t="n">
        <v>45908</v>
      </c>
      <c r="F445" s="52" t="inlineStr">
        <is>
          <t>OC25-251004284</t>
        </is>
      </c>
      <c r="G445" s="50" t="inlineStr">
        <is>
          <t>OC25-251005566 - REP-TF OC25-251004284 - BIMADE ECOWALL VCUT NEW PV</t>
        </is>
      </c>
      <c r="H445" s="50" t="inlineStr">
        <is>
          <t>BIMADE</t>
        </is>
      </c>
      <c r="I445" s="50" t="inlineStr">
        <is>
          <t>Jon Rioboo</t>
        </is>
      </c>
      <c r="J445" s="50" t="inlineStr">
        <is>
          <t>Mónica</t>
        </is>
      </c>
      <c r="K445" s="50" t="inlineStr">
        <is>
          <t>2 Errores TF</t>
        </is>
      </c>
      <c r="L445" s="50" t="e">
        <v>#REF!</v>
      </c>
      <c r="M445" s="54" t="inlineStr">
        <is>
          <t>Reposición de 2 paneles biselados</t>
        </is>
      </c>
      <c r="N445" s="50" t="inlineStr">
        <is>
          <t>Comprobar en CAD que los biseles no se desplazan al alargarlos</t>
        </is>
      </c>
      <c r="O445" s="47" t="inlineStr">
        <is>
          <t>El pedido constaba de unas paredes con un diseños de biseles rectos y curvos combinados de catálogo. Las paredes excedían el largo del panel, por lo que se tuvieron que hacer en dos piezas. En el transcurso de alargar el diseño para adaptarlo a la pieza pequeña y alargar los biseles para rematar bien el corte, algunos de los biseles de ese diseño se veían desplazados. La incidencia técnica se origina en que no se comprobó que dichos biseles coincidían una vez se tenían las piezas separadas. La incidencia de fábrica surge de una diferencia en el tono de los paneles de las piezas pequeñas de las paredes, ya que todas esas piezas salieron del mismo panel. No se comprobó que todos los paneles del palet fueran del mismo tono.</t>
        </is>
      </c>
      <c r="P445" s="98" t="n">
        <v>665.5</v>
      </c>
      <c r="Q445" s="99" t="n"/>
      <c r="R445" s="99" t="n"/>
      <c r="S445" s="50" t="e">
        <v>#REF!</v>
      </c>
    </row>
    <row r="446" ht="45" customHeight="1">
      <c r="A446" s="55" t="inlineStr">
        <is>
          <t>CP448</t>
        </is>
      </c>
      <c r="B446" s="55" t="inlineStr">
        <is>
          <t>ABIERTA</t>
        </is>
      </c>
      <c r="C446" s="56" t="n">
        <v>45950</v>
      </c>
      <c r="D446" s="57" t="inlineStr">
        <is>
          <t>OC25-251005200</t>
        </is>
      </c>
      <c r="E446" s="125" t="n">
        <v>45863</v>
      </c>
      <c r="F446" s="57" t="inlineStr">
        <is>
          <t>OC25-251003561</t>
        </is>
      </c>
      <c r="G446" s="55" t="inlineStr">
        <is>
          <t>OC25-251005200 - REP-IT OC25-251003561 - WHOLECONTRACT ECONORDIK COLOR 253043-SE CAT</t>
        </is>
      </c>
      <c r="H446" s="55" t="inlineStr">
        <is>
          <t>WHOLECONTRACT</t>
        </is>
      </c>
      <c r="I446" s="55" t="inlineStr">
        <is>
          <t>Manel</t>
        </is>
      </c>
      <c r="J446" s="55" t="inlineStr">
        <is>
          <t>Pablo</t>
        </is>
      </c>
      <c r="K446" s="55" t="inlineStr">
        <is>
          <t>Transporte</t>
        </is>
      </c>
      <c r="L446" s="55" t="e">
        <v>#REF!</v>
      </c>
      <c r="M446" s="59" t="inlineStr">
        <is>
          <t>Reposición de 3 ECOnordik Colour</t>
        </is>
      </c>
      <c r="N446" s="55" t="inlineStr">
        <is>
          <t>Hacer seguimiento a los pedidos con entregas fallidas</t>
        </is>
      </c>
      <c r="O446" s="46" t="inlineStr">
        <is>
          <t>El pedido constaba de 29 ECOnordiks lacados en blanco. El ambalaje del bulto le llegó al cliente totalmente destrozado, pero la mayor parte del material se pudo aprovechar, quedando solo 3 paneles para reponer</t>
        </is>
      </c>
      <c r="P446" s="101" t="n">
        <v>408.38</v>
      </c>
      <c r="Q446" s="102" t="n"/>
      <c r="R446" s="102" t="n"/>
      <c r="S446" s="55" t="e">
        <v>#REF!</v>
      </c>
    </row>
    <row r="447" ht="30" customHeight="1">
      <c r="A447" s="50" t="inlineStr">
        <is>
          <t>CP449</t>
        </is>
      </c>
      <c r="B447" s="50" t="n"/>
      <c r="C447" s="51" t="n">
        <v>45861</v>
      </c>
      <c r="D447" s="52" t="inlineStr">
        <is>
          <t>OC25-251004230</t>
        </is>
      </c>
      <c r="E447" s="126" t="n">
        <v>45861</v>
      </c>
      <c r="F447" s="52" t="inlineStr">
        <is>
          <t>OC25-251002145</t>
        </is>
      </c>
      <c r="G447" s="50" t="inlineStr">
        <is>
          <t>OC25-251004230 - REP-IT OC25-251002145 - SULA FOAM GIMNASIO BAL</t>
        </is>
      </c>
      <c r="H447" s="50" t="inlineStr">
        <is>
          <t>SULA PLANET</t>
        </is>
      </c>
      <c r="I447" s="50" t="inlineStr">
        <is>
          <t>José Luis Caride</t>
        </is>
      </c>
      <c r="J447" s="50" t="inlineStr">
        <is>
          <t>David</t>
        </is>
      </c>
      <c r="K447" s="50" t="inlineStr">
        <is>
          <t>Transporte</t>
        </is>
      </c>
      <c r="L447" s="50" t="e">
        <v>#REF!</v>
      </c>
      <c r="M447" s="54" t="inlineStr">
        <is>
          <t>Reposición de colas</t>
        </is>
      </c>
      <c r="N447" s="50" t="inlineStr">
        <is>
          <t>Hacer seguimiento a los pedidos con entregas fallidas</t>
        </is>
      </c>
      <c r="O447" s="47" t="inlineStr">
        <is>
          <t>El transporte extravió 45 adhesivos FOAM que no se entregaron en destino</t>
        </is>
      </c>
      <c r="P447" s="98" t="n">
        <v>247.5</v>
      </c>
      <c r="Q447" s="99" t="n"/>
      <c r="R447" s="99" t="n"/>
      <c r="S447" s="50" t="e">
        <v>#REF!</v>
      </c>
    </row>
    <row r="448" ht="45" customHeight="1">
      <c r="A448" s="50" t="inlineStr">
        <is>
          <t>CP450</t>
        </is>
      </c>
      <c r="C448" s="56" t="n"/>
      <c r="E448" s="125" t="n"/>
      <c r="G448" s="134" t="inlineStr">
        <is>
          <t>OC25-251005455 - REP-FCF OC25-251004482 - LA PREEMINENTE AMPL 251004205 CAMBRILS PARK FASE 2 CAT</t>
        </is>
      </c>
      <c r="J448" s="55" t="inlineStr">
        <is>
          <t>Mónica</t>
        </is>
      </c>
      <c r="K448" s="55" t="inlineStr">
        <is>
          <t>Falta Componentes fábrica</t>
        </is>
      </c>
      <c r="L448" s="55" t="e">
        <v>#REF!</v>
      </c>
      <c r="M448" s="59" t="inlineStr">
        <is>
          <t>Mandar la falta de material, en este caso era pintura.</t>
        </is>
      </c>
      <c r="N448" s="55" t="inlineStr">
        <is>
          <t>Especificar en documento para que aparezca en la OF.</t>
        </is>
      </c>
      <c r="O448" s="46" t="inlineStr">
        <is>
          <t xml:space="preserve">Cliente pidio que le enviaramos pintura para rematar acabados. Se especifico en trello pero produccion no lo envio. </t>
        </is>
      </c>
      <c r="P448" s="101" t="n"/>
      <c r="Q448" s="102" t="n"/>
      <c r="R448" s="102" t="n"/>
      <c r="S448" s="55" t="e">
        <v>#REF!</v>
      </c>
    </row>
    <row r="449" ht="30" customHeight="1">
      <c r="A449" s="50" t="inlineStr">
        <is>
          <t>CP451</t>
        </is>
      </c>
      <c r="B449" s="50" t="n"/>
      <c r="C449" s="51" t="n">
        <v>45861</v>
      </c>
      <c r="D449" s="52" t="inlineStr">
        <is>
          <t>OC25-251006441</t>
        </is>
      </c>
      <c r="E449" s="126" t="n">
        <v>45861</v>
      </c>
      <c r="F449" s="52" t="inlineStr">
        <is>
          <t>OC25-251003804</t>
        </is>
      </c>
      <c r="G449" s="50" t="inlineStr">
        <is>
          <t>OC25-251006441 - REP OC25-251003804 TRASERAS QUADRI CV</t>
        </is>
      </c>
      <c r="H449" s="50" t="inlineStr">
        <is>
          <t>DESTUDIO</t>
        </is>
      </c>
      <c r="I449" s="50" t="inlineStr">
        <is>
          <t>J. HDEZ</t>
        </is>
      </c>
      <c r="J449" s="50" t="inlineStr">
        <is>
          <t>David</t>
        </is>
      </c>
      <c r="K449" s="50" t="inlineStr">
        <is>
          <t>Error técnico</t>
        </is>
      </c>
      <c r="L449" s="50" t="inlineStr">
        <is>
          <t>Error técnico</t>
        </is>
      </c>
      <c r="M449" s="54" t="inlineStr">
        <is>
          <t>Enviar material urgente</t>
        </is>
      </c>
      <c r="N449" s="50" t="inlineStr">
        <is>
          <t>Asegurar archivo de corte con prueba previa y confirmar todo con el cliente</t>
        </is>
      </c>
      <c r="O449" s="47" t="inlineStr">
        <is>
          <t>Error en dxf por no hacer prueba previa en Quadrilateral, y falta de transparencia por parte del cliente</t>
        </is>
      </c>
      <c r="P449" s="98" t="n">
        <v>716</v>
      </c>
      <c r="Q449" s="99" t="n"/>
      <c r="R449" s="99" t="n"/>
      <c r="S449" s="50" t="e">
        <v>#REF!</v>
      </c>
    </row>
    <row r="450" ht="86.25" customHeight="1">
      <c r="A450" s="55" t="inlineStr">
        <is>
          <t>CP452</t>
        </is>
      </c>
      <c r="C450" s="56" t="inlineStr">
        <is>
          <t>14*10/2025</t>
        </is>
      </c>
      <c r="D450" s="57" t="inlineStr">
        <is>
          <t>oc25-251004278</t>
        </is>
      </c>
      <c r="E450" s="125" t="n">
        <v>45897</v>
      </c>
      <c r="F450" s="57" t="inlineStr">
        <is>
          <t>OC25-251006094</t>
        </is>
      </c>
      <c r="G450" s="55" t="inlineStr">
        <is>
          <t>OC25-251006094 REP-INS_REP-ERF oc25-251004278 TETRIS VEOLIA FASE 2 MAD</t>
        </is>
      </c>
      <c r="H450" s="55" t="inlineStr">
        <is>
          <t>tetris</t>
        </is>
      </c>
      <c r="I450" s="55" t="inlineStr">
        <is>
          <t>marc</t>
        </is>
      </c>
      <c r="J450" s="55" t="inlineStr">
        <is>
          <t>Belén</t>
        </is>
      </c>
      <c r="K450" s="55" t="inlineStr">
        <is>
          <t>Fabricación</t>
        </is>
      </c>
      <c r="L450" s="55" t="e">
        <v>#REF!</v>
      </c>
      <c r="M450" s="59" t="inlineStr">
        <is>
          <t>enviar la reposición urgente</t>
        </is>
      </c>
      <c r="N450" s="55" t="inlineStr">
        <is>
          <t>asegurarse de que se han pintado los baffles por delante y por etrás</t>
        </is>
      </c>
      <c r="O450" s="139" t="inlineStr">
        <is>
          <t>La falta de un procedimiento estandarizado de inspección final y posiblemente la presión por cumplir con los plazos de entrega, llevaron a que no se realizara una verificación exhaustiva. Además, durante el periodo estival, había un pintor instruido y otro con menos experiencia, lo que pudo haber influido en la falta de control adecuado. La falta de instrucciones claras a los operarios podría haber generado el problema. La solución podría estar en instruir adecuadamente a todos los operarios para garantizar que comprendan los estándares de calidad requeridos.</t>
        </is>
      </c>
      <c r="P450" s="124" t="n">
        <v>1290</v>
      </c>
      <c r="Q450" s="102" t="n"/>
      <c r="R450" s="102" t="n"/>
      <c r="S450" s="55" t="e">
        <v>#REF!</v>
      </c>
    </row>
    <row r="451" ht="45" customHeight="1">
      <c r="A451" s="50" t="inlineStr">
        <is>
          <t>CP453</t>
        </is>
      </c>
      <c r="B451" s="50" t="n"/>
      <c r="C451" s="51" t="n">
        <v>45957</v>
      </c>
      <c r="D451" s="52" t="inlineStr">
        <is>
          <t>OC25-251006518</t>
        </is>
      </c>
      <c r="E451" s="126" t="n">
        <v>45889</v>
      </c>
      <c r="F451" s="52" t="inlineStr">
        <is>
          <t>OC25-251002902</t>
        </is>
      </c>
      <c r="G451" s="50" t="inlineStr">
        <is>
          <t>OC25-251006518 - REP-IT. OC25-251002902 - AMPL MITMOT_STEELCASE_RECTANGLE 3D_INTER_PT</t>
        </is>
      </c>
      <c r="H451" s="50" t="inlineStr">
        <is>
          <t>Steelcase PT</t>
        </is>
      </c>
      <c r="I451" s="50" t="inlineStr">
        <is>
          <t>Paulo</t>
        </is>
      </c>
      <c r="J451" s="50" t="inlineStr">
        <is>
          <t>Luis</t>
        </is>
      </c>
      <c r="K451" s="50" t="inlineStr">
        <is>
          <t>Transporte</t>
        </is>
      </c>
      <c r="L451" s="50" t="inlineStr">
        <is>
          <t>Transporte</t>
        </is>
      </c>
      <c r="M451" s="54" t="inlineStr">
        <is>
          <t>Reponer paneles dañados</t>
        </is>
      </c>
      <c r="N451" s="50" t="inlineStr">
        <is>
          <t>Reforzar empaquetado FOAM pocas unidades</t>
        </is>
      </c>
      <c r="O451" s="47" t="inlineStr">
        <is>
          <t>Han llegado a destino 5 placas dañadas</t>
        </is>
      </c>
      <c r="P451" s="98" t="n">
        <v>123</v>
      </c>
      <c r="Q451" s="99" t="n"/>
      <c r="R451" s="99" t="n"/>
      <c r="S451" s="50" t="e">
        <v>#REF!</v>
      </c>
    </row>
    <row r="452" ht="45" customHeight="1">
      <c r="A452" s="55" t="inlineStr">
        <is>
          <t>CP454</t>
        </is>
      </c>
      <c r="C452" s="56" t="n">
        <v>45957</v>
      </c>
      <c r="D452" s="57" t="inlineStr">
        <is>
          <t>OC25-251006524</t>
        </is>
      </c>
      <c r="E452" s="125" t="n">
        <v>45946</v>
      </c>
      <c r="F452" s="57" t="inlineStr">
        <is>
          <t>OC25-251005910</t>
        </is>
      </c>
      <c r="G452" s="55" t="inlineStr">
        <is>
          <t>OC25-251006524 - REP-FPT. OC25-251005910 - REP-ERT. OC25-251002629 - City Council_PET_ECOwall vcut_INTER_NL</t>
        </is>
      </c>
      <c r="H452" s="55" t="inlineStr">
        <is>
          <t>PET</t>
        </is>
      </c>
      <c r="I452" s="55" t="inlineStr">
        <is>
          <t>Alexander Bakri</t>
        </is>
      </c>
      <c r="J452" s="55" t="inlineStr">
        <is>
          <t>Luis</t>
        </is>
      </c>
      <c r="K452" s="55" t="inlineStr">
        <is>
          <t>Falta Paneles Técnico</t>
        </is>
      </c>
      <c r="L452" s="55" t="inlineStr">
        <is>
          <t>Falta Paneles Técnico</t>
        </is>
      </c>
      <c r="M452" s="59" t="inlineStr">
        <is>
          <t>Enviar panel que falta</t>
        </is>
      </c>
      <c r="N452" s="55" t="inlineStr">
        <is>
          <t>Asegurarse dos veces que se ha complendido toda la información</t>
        </is>
      </c>
      <c r="O452" s="46" t="inlineStr">
        <is>
          <t xml:space="preserve">Un panel no se envió porque se indicaba en mail pero no en los planos facilitados. </t>
        </is>
      </c>
      <c r="P452" s="101" t="n">
        <v>266.75</v>
      </c>
      <c r="Q452" s="102" t="n"/>
      <c r="R452" s="102" t="n"/>
      <c r="S452" s="55" t="e">
        <v>#REF!</v>
      </c>
    </row>
    <row r="453" ht="30" customHeight="1">
      <c r="A453" s="50" t="inlineStr">
        <is>
          <t>CP455</t>
        </is>
      </c>
      <c r="B453" s="50" t="inlineStr">
        <is>
          <t>ABIERTA</t>
        </is>
      </c>
      <c r="C453" s="51" t="n">
        <v>45958</v>
      </c>
      <c r="D453" s="52" t="inlineStr">
        <is>
          <t>OC25-251006576</t>
        </is>
      </c>
      <c r="E453" s="126" t="n">
        <v>45943</v>
      </c>
      <c r="F453" s="52" t="inlineStr">
        <is>
          <t>OC25-251005201</t>
        </is>
      </c>
      <c r="G453" s="50" t="inlineStr">
        <is>
          <t>OC25-251006576 - REP-ERE OC25-251005201 SERINAC 660.00 TANCO BEJAR FOAM AND</t>
        </is>
      </c>
      <c r="H453" s="50" t="inlineStr">
        <is>
          <t>Origen Extremadura S.A.</t>
        </is>
      </c>
      <c r="I453" s="50" t="inlineStr">
        <is>
          <t>Jorge Blanco</t>
        </is>
      </c>
      <c r="J453" s="50" t="inlineStr">
        <is>
          <t>Belén</t>
        </is>
      </c>
      <c r="K453" s="50" t="inlineStr">
        <is>
          <t>Error estandarización</t>
        </is>
      </c>
      <c r="L453" s="50" t="inlineStr">
        <is>
          <t>Error estandarización</t>
        </is>
      </c>
      <c r="M453" s="54" t="n"/>
      <c r="N453" s="50" t="n"/>
      <c r="O453" s="47" t="n"/>
      <c r="P453" s="98" t="n">
        <v>111.32</v>
      </c>
      <c r="Q453" s="99" t="n"/>
      <c r="R453" s="99" t="n"/>
      <c r="S453" s="50" t="e">
        <v>#REF!</v>
      </c>
    </row>
    <row r="454">
      <c r="A454" t="inlineStr">
        <is>
          <t>CP456</t>
        </is>
      </c>
      <c r="B454" t="inlineStr">
        <is>
          <t>ABIERTA</t>
        </is>
      </c>
      <c r="C454" s="145" t="n">
        <v>45980</v>
      </c>
      <c r="D454" t="inlineStr">
        <is>
          <t>OC25-2510 - REP-FAB NEIB</t>
        </is>
      </c>
      <c r="F454" t="inlineStr">
        <is>
          <t>OC25-2512222</t>
        </is>
      </c>
      <c r="G454" t="inlineStr">
        <is>
          <t>OC25-2512222</t>
        </is>
      </c>
      <c r="H454" t="inlineStr">
        <is>
          <t>NEIBER</t>
        </is>
      </c>
      <c r="J454" t="inlineStr">
        <is>
          <t>Miguel Ángel</t>
        </is>
      </c>
      <c r="K454" t="inlineStr">
        <is>
          <t>Unidades afectadas: 2 paneles.</t>
        </is>
      </c>
      <c r="L454" t="inlineStr">
        <is>
          <t>Miguel Ángel</t>
        </is>
      </c>
      <c r="M454" t="inlineStr">
        <is>
          <t>Se fabricaron de nuevo los 2 paneles afectados que habían llegado con marcas visibles</t>
        </is>
      </c>
      <c r="N454" t="inlineStr">
        <is>
          <t xml:space="preserve">Se fabricaron nuevamente los 2 paneles afectados y se gestionó su envío al cliente como solución puntual al caso. </t>
        </is>
      </c>
      <c r="O454" t="inlineStr">
        <is>
          <t>Logística</t>
        </is>
      </c>
      <c r="R454" t="inlineStr">
        <is>
          <t>C:\Users\Administrador\Desktop\eco8d_deploy\informes_8d\8D_SIN_CAPA_20251120_060913.xlsx</t>
        </is>
      </c>
    </row>
  </sheetData>
  <mergeCells count="1">
    <mergeCell ref="B1:S1"/>
  </mergeCells>
  <conditionalFormatting sqref="P3:P346 P349:P378 P380:P381 P383:P396">
    <cfRule type="colorScale" priority="2">
      <colorScale>
        <cfvo type="min"/>
        <cfvo type="percentile" val="50"/>
        <cfvo type="max"/>
        <color rgb="FF63BE7B"/>
        <color rgb="FFFFEB84"/>
        <color rgb="FFF8696B"/>
      </colorScale>
    </cfRule>
  </conditionalFormatting>
  <conditionalFormatting sqref="P3:P413 P415:P449 P451:P453">
    <cfRule type="colorScale" priority="3">
      <colorScale>
        <cfvo type="min"/>
        <cfvo type="percentile" val="50"/>
        <cfvo type="max"/>
        <color rgb="FF63BE7B"/>
        <color rgb="FFFFEB84"/>
        <color rgb="FFF8696B"/>
      </colorScale>
    </cfRule>
  </conditionalFormatting>
  <conditionalFormatting sqref="P379">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paperSize="9"/>
  <tableParts count="1">
    <tablePart xmlns:r="http://schemas.openxmlformats.org/officeDocument/2006/relationships" r:id="rId1"/>
  </tableParts>
</worksheet>
</file>

<file path=xl/worksheets/sheet3.xml><?xml version="1.0" encoding="utf-8"?>
<worksheet xmlns="http://schemas.openxmlformats.org/spreadsheetml/2006/main">
  <sheetPr>
    <tabColor theme="6" tint="0.3999755851924192"/>
    <outlinePr summaryBelow="1" summaryRight="1"/>
    <pageSetUpPr/>
  </sheetPr>
  <dimension ref="A2:D51"/>
  <sheetViews>
    <sheetView showGridLines="0" topLeftCell="A28" zoomScale="85" zoomScaleNormal="85" workbookViewId="0">
      <selection activeCell="A30" sqref="A30"/>
    </sheetView>
  </sheetViews>
  <sheetFormatPr baseColWidth="10" defaultRowHeight="46.5" customHeight="1"/>
  <cols>
    <col width="29.85546875" customWidth="1" style="4" min="1" max="1"/>
    <col width="94.7109375" customWidth="1" style="15" min="2" max="2"/>
    <col width="11.42578125" customWidth="1" style="15" min="3" max="28"/>
    <col width="11.42578125" customWidth="1" style="15" min="29" max="16384"/>
  </cols>
  <sheetData>
    <row r="1" ht="23.25" customHeight="1" thickBot="1"/>
    <row r="2" ht="60.75" customHeight="1">
      <c r="A2" s="38" t="n"/>
      <c r="B2" s="38" t="inlineStr">
        <is>
          <t>Informe 8D - ECOcero</t>
        </is>
      </c>
    </row>
    <row r="3" ht="15" customHeight="1" thickBot="1">
      <c r="A3" s="39" t="n"/>
      <c r="B3" s="40" t="n"/>
    </row>
    <row r="4" ht="67.5" customHeight="1">
      <c r="A4" s="41" t="inlineStr">
        <is>
          <t>0D - Registro de datos</t>
        </is>
      </c>
      <c r="B4" s="42" t="n"/>
    </row>
    <row r="5" ht="46.5" customHeight="1">
      <c r="A5" s="17" t="inlineStr">
        <is>
          <t>Número de Incidencia (CAPA)</t>
        </is>
      </c>
      <c r="B5" s="16" t="n"/>
    </row>
    <row r="6" ht="46.5" customHeight="1">
      <c r="A6" s="17" t="inlineStr">
        <is>
          <t>Número de Reposición</t>
        </is>
      </c>
      <c r="B6" s="16" t="n"/>
    </row>
    <row r="7" ht="46.5" customHeight="1">
      <c r="A7" s="17" t="inlineStr">
        <is>
          <t>Fecha de detección</t>
        </is>
      </c>
      <c r="B7" s="16" t="n"/>
    </row>
    <row r="8" ht="46.5" customHeight="1">
      <c r="A8" s="17" t="inlineStr">
        <is>
          <t>Cliente</t>
        </is>
      </c>
      <c r="B8" s="16" t="n"/>
    </row>
    <row r="9" ht="46.5" customHeight="1">
      <c r="A9" s="17" t="inlineStr">
        <is>
          <t>Pedido</t>
        </is>
      </c>
      <c r="B9" s="16" t="n"/>
    </row>
    <row r="10" ht="46.5" customHeight="1">
      <c r="A10" s="17" t="inlineStr">
        <is>
          <t>Producto</t>
        </is>
      </c>
      <c r="B10" s="16" t="n"/>
    </row>
    <row r="11" ht="46.5" customHeight="1">
      <c r="A11" s="17" t="inlineStr">
        <is>
          <t>Proceso</t>
        </is>
      </c>
      <c r="B11" s="16" t="n"/>
    </row>
    <row r="12" ht="46.5" customHeight="1">
      <c r="A12" s="17" t="inlineStr">
        <is>
          <t>Área</t>
        </is>
      </c>
      <c r="B12" s="16" t="n"/>
    </row>
    <row r="13" ht="46.5" customHeight="1">
      <c r="A13" s="17" t="inlineStr">
        <is>
          <t>Detectado por</t>
        </is>
      </c>
      <c r="B13" s="16" t="n"/>
    </row>
    <row r="14" ht="46.5" customHeight="1">
      <c r="A14" s="43" t="n"/>
      <c r="B14" s="43" t="inlineStr">
        <is>
          <t>1D - Equipo responsable</t>
        </is>
      </c>
    </row>
    <row r="15" ht="46.5" customHeight="1">
      <c r="A15" s="17" t="inlineStr">
        <is>
          <t>Nombre1</t>
        </is>
      </c>
      <c r="B15" s="16" t="n"/>
    </row>
    <row r="16" ht="46.5" customHeight="1">
      <c r="A16" s="17" t="inlineStr">
        <is>
          <t>Departamento1</t>
        </is>
      </c>
      <c r="B16" s="16" t="n"/>
    </row>
    <row r="17" ht="46.5" customHeight="1">
      <c r="A17" s="17" t="inlineStr">
        <is>
          <t>Nombre2</t>
        </is>
      </c>
      <c r="B17" s="16" t="n"/>
    </row>
    <row r="18" ht="46.5" customHeight="1">
      <c r="A18" s="17" t="inlineStr">
        <is>
          <t>Departamento2</t>
        </is>
      </c>
      <c r="B18" s="16" t="n"/>
    </row>
    <row r="19" ht="46.5" customHeight="1">
      <c r="A19" s="17" t="inlineStr">
        <is>
          <t>Nombre3</t>
        </is>
      </c>
      <c r="B19" s="16" t="n"/>
    </row>
    <row r="20" ht="46.5" customHeight="1">
      <c r="A20" s="17" t="inlineStr">
        <is>
          <t>Departamento3</t>
        </is>
      </c>
      <c r="B20" s="16" t="n"/>
    </row>
    <row r="21" ht="57.75" customHeight="1">
      <c r="A21" s="43" t="inlineStr">
        <is>
          <t>2D - Descripción del problema</t>
        </is>
      </c>
      <c r="B21" s="43" t="inlineStr">
        <is>
          <t>2D - Descripción del problema</t>
        </is>
      </c>
    </row>
    <row r="22" ht="46.5" customHeight="1">
      <c r="A22" s="17" t="inlineStr">
        <is>
          <t>¿Qué?</t>
        </is>
      </c>
      <c r="B22" s="16" t="n"/>
    </row>
    <row r="23" ht="46.5" customHeight="1">
      <c r="A23" s="17" t="inlineStr">
        <is>
          <t>¿Cuándo?</t>
        </is>
      </c>
      <c r="B23" s="16" t="n"/>
    </row>
    <row r="24" ht="46.5" customHeight="1">
      <c r="A24" s="17" t="inlineStr">
        <is>
          <t>¿Dónde?</t>
        </is>
      </c>
      <c r="B24" s="16" t="n"/>
    </row>
    <row r="25" ht="46.5" customHeight="1">
      <c r="A25" s="17" t="inlineStr">
        <is>
          <t>¿Cómo?</t>
        </is>
      </c>
      <c r="B25" s="16" t="n"/>
    </row>
    <row r="26" ht="46.5" customHeight="1">
      <c r="A26" s="17" t="inlineStr">
        <is>
          <t>¿Quién?</t>
        </is>
      </c>
      <c r="B26" s="16" t="n"/>
    </row>
    <row r="27" ht="46.5" customHeight="1">
      <c r="A27" s="17" t="inlineStr">
        <is>
          <t>¿Cuánto está impactando?</t>
        </is>
      </c>
      <c r="B27" s="16" t="n"/>
    </row>
    <row r="28" ht="77.25" customHeight="1">
      <c r="A28" s="17" t="inlineStr">
        <is>
          <t>Descripción Detallada de la Incidencia</t>
        </is>
      </c>
      <c r="B28" s="16" t="n"/>
    </row>
    <row r="29" ht="46.5" customHeight="1">
      <c r="A29" s="43" t="n"/>
      <c r="B29" s="43" t="inlineStr">
        <is>
          <t>3D - Acción de contención</t>
        </is>
      </c>
    </row>
    <row r="30" ht="46.5" customHeight="1">
      <c r="A30" s="17" t="inlineStr">
        <is>
          <t>Acción Contencion</t>
        </is>
      </c>
      <c r="B30" s="16" t="n"/>
      <c r="C30" s="14" t="n"/>
    </row>
    <row r="31" ht="46.5" customHeight="1">
      <c r="A31" s="17" t="inlineStr">
        <is>
          <t xml:space="preserve">Fecha de realización Contencion </t>
        </is>
      </c>
      <c r="B31" s="16" t="n"/>
      <c r="C31" s="14" t="n"/>
      <c r="D31" s="14" t="n"/>
    </row>
    <row r="32" ht="46.5" customHeight="1">
      <c r="A32" s="17" t="inlineStr">
        <is>
          <t>Responsable Contencion</t>
        </is>
      </c>
      <c r="B32" s="16" t="n"/>
      <c r="C32" s="14" t="n"/>
      <c r="D32" s="14" t="n"/>
    </row>
    <row r="33" ht="46.5" customHeight="1">
      <c r="A33" s="17" t="inlineStr">
        <is>
          <t>Estatus Contencion</t>
        </is>
      </c>
      <c r="B33" s="16" t="n"/>
      <c r="D33" s="14" t="n"/>
    </row>
    <row r="34" ht="60" customHeight="1">
      <c r="A34" s="43" t="n"/>
      <c r="B34" s="43" t="inlineStr">
        <is>
          <t>4D - Análisis 
de causa raíz</t>
        </is>
      </c>
    </row>
    <row r="35" ht="46.5" customHeight="1">
      <c r="A35" s="17" t="inlineStr">
        <is>
          <t>¿Por qué? 1</t>
        </is>
      </c>
      <c r="B35" s="16" t="n"/>
    </row>
    <row r="36" ht="46.5" customHeight="1">
      <c r="A36" s="17" t="inlineStr">
        <is>
          <t>¿Por qué? 2</t>
        </is>
      </c>
      <c r="B36" s="16" t="n"/>
    </row>
    <row r="37" ht="46.5" customHeight="1">
      <c r="A37" s="17" t="inlineStr">
        <is>
          <t>¿Por qué? 3</t>
        </is>
      </c>
      <c r="B37" s="16" t="n"/>
    </row>
    <row r="38" ht="46.5" customHeight="1">
      <c r="A38" s="17" t="inlineStr">
        <is>
          <t>¿Por qué? 4</t>
        </is>
      </c>
      <c r="B38" s="16" t="n"/>
    </row>
    <row r="39" ht="46.5" customHeight="1">
      <c r="A39" s="17" t="inlineStr">
        <is>
          <t>¿Por qué? 5</t>
        </is>
      </c>
      <c r="B39" s="16" t="n"/>
    </row>
    <row r="40" ht="46.5" customHeight="1">
      <c r="A40" s="17" t="inlineStr">
        <is>
          <t>Causa Raíz</t>
        </is>
      </c>
      <c r="B40" s="16" t="n"/>
    </row>
    <row r="41" ht="81.75" customHeight="1">
      <c r="A41" s="43" t="n"/>
      <c r="B41" s="43" t="inlineStr">
        <is>
          <t xml:space="preserve">5D - Acción correctiva 6D- Validacion 
</t>
        </is>
      </c>
    </row>
    <row r="42" ht="46.5" customHeight="1">
      <c r="A42" s="17" t="inlineStr">
        <is>
          <t>Acción correctiva</t>
        </is>
      </c>
      <c r="B42" s="16" t="n"/>
    </row>
    <row r="43" ht="46.5" customHeight="1">
      <c r="A43" s="17" t="inlineStr">
        <is>
          <t>Fecha correctiva</t>
        </is>
      </c>
      <c r="B43" s="16" t="n"/>
    </row>
    <row r="44" ht="46.5" customHeight="1">
      <c r="A44" s="17" t="inlineStr">
        <is>
          <t>Responsable correctiva</t>
        </is>
      </c>
      <c r="B44" s="16" t="n"/>
    </row>
    <row r="45" ht="46.5" customHeight="1">
      <c r="A45" s="17" t="inlineStr">
        <is>
          <t>Estatus Correctiva</t>
        </is>
      </c>
      <c r="B45" s="16" t="n"/>
    </row>
    <row r="46" ht="59.25" customHeight="1">
      <c r="A46" s="43" t="n"/>
      <c r="B46" s="43" t="inlineStr">
        <is>
          <t xml:space="preserve">7D – acciones preventivas </t>
        </is>
      </c>
    </row>
    <row r="47" ht="59.25" customHeight="1">
      <c r="A47" s="17" t="inlineStr">
        <is>
          <t>Acción Preventiva</t>
        </is>
      </c>
      <c r="B47" s="16" t="n"/>
    </row>
    <row r="48" ht="59.25" customHeight="1">
      <c r="A48" s="43" t="n"/>
      <c r="B48" s="43" t="inlineStr">
        <is>
          <t>8D – Cierre y mejora continua</t>
        </is>
      </c>
    </row>
    <row r="49" ht="59.25" customHeight="1">
      <c r="A49" s="17" t="inlineStr">
        <is>
          <t>Fecha de cierre</t>
        </is>
      </c>
      <c r="B49" s="16" t="n"/>
    </row>
    <row r="50" ht="46.5" customHeight="1">
      <c r="A50" s="17" t="inlineStr">
        <is>
          <t>Responsable de auditar</t>
        </is>
      </c>
      <c r="B50" s="16" t="n"/>
    </row>
    <row r="51" ht="46.5" customHeight="1" thickBot="1">
      <c r="A51" s="18" t="inlineStr">
        <is>
          <t>Aprobo</t>
        </is>
      </c>
      <c r="B51" s="16" t="n"/>
    </row>
    <row r="53" ht="91.5" customHeight="1"/>
  </sheetData>
  <pageMargins left="0.7" right="0.7" top="0.75" bottom="0.75" header="0.3" footer="0.3"/>
  <pageSetup orientation="portrait" paperSize="9"/>
</worksheet>
</file>

<file path=xl/worksheets/sheet4.xml><?xml version="1.0" encoding="utf-8"?>
<worksheet xmlns="http://schemas.openxmlformats.org/spreadsheetml/2006/main">
  <sheetPr>
    <tabColor theme="5" tint="-0.499984740745262"/>
    <outlinePr summaryBelow="1" summaryRight="1"/>
    <pageSetUpPr/>
  </sheetPr>
  <dimension ref="A1:H34"/>
  <sheetViews>
    <sheetView showGridLines="0" zoomScale="55" zoomScaleNormal="55" workbookViewId="0">
      <selection activeCell="F2" sqref="F2"/>
    </sheetView>
  </sheetViews>
  <sheetFormatPr baseColWidth="10" defaultColWidth="22.42578125" defaultRowHeight="15"/>
  <cols>
    <col width="33.140625" bestFit="1" customWidth="1" style="36" min="1" max="1"/>
    <col width="25" bestFit="1" customWidth="1" style="36" min="2" max="2"/>
    <col width="33.5703125" bestFit="1" customWidth="1" style="36" min="3" max="3"/>
    <col width="22.42578125" customWidth="1" style="36" min="9" max="9"/>
    <col width="17.42578125" bestFit="1" customWidth="1" style="36" min="10" max="10"/>
    <col width="19.5703125" bestFit="1" customWidth="1" style="36" min="11" max="11"/>
    <col width="20" bestFit="1" customWidth="1" style="36" min="12" max="12"/>
    <col width="16.28515625" bestFit="1" customWidth="1" style="36" min="13" max="13"/>
    <col width="16.7109375" bestFit="1" customWidth="1" style="36" min="14" max="14"/>
    <col width="22.42578125" customWidth="1" style="36" min="15" max="40"/>
    <col width="22.42578125" customWidth="1" style="36" min="41" max="16384"/>
  </cols>
  <sheetData>
    <row r="1">
      <c r="A1" s="35" t="inlineStr">
        <is>
          <t>Tipos de incidencias</t>
        </is>
      </c>
      <c r="B1" s="35" t="inlineStr">
        <is>
          <t>Area</t>
        </is>
      </c>
      <c r="C1" s="35" t="inlineStr">
        <is>
          <t>Nomenclatura de area</t>
        </is>
      </c>
      <c r="D1" s="35" t="inlineStr">
        <is>
          <t>Tecnico</t>
        </is>
      </c>
      <c r="E1" s="35" t="inlineStr">
        <is>
          <t>Comercial</t>
        </is>
      </c>
      <c r="F1" s="35" t="inlineStr">
        <is>
          <t>Proveedor</t>
        </is>
      </c>
      <c r="G1" s="35" t="inlineStr">
        <is>
          <t>Cliente</t>
        </is>
      </c>
      <c r="H1" s="35" t="inlineStr">
        <is>
          <t>Estatus</t>
        </is>
      </c>
    </row>
    <row r="2">
      <c r="A2" s="36" t="inlineStr">
        <is>
          <t>Falta Componentes fábrica</t>
        </is>
      </c>
      <c r="B2" s="36" t="inlineStr">
        <is>
          <t>Fábrica</t>
        </is>
      </c>
      <c r="C2" s="36" t="inlineStr">
        <is>
          <t>REP-FCF</t>
        </is>
      </c>
      <c r="D2" s="36" t="inlineStr">
        <is>
          <t>Miguel Ángel</t>
        </is>
      </c>
      <c r="E2" s="36" t="inlineStr">
        <is>
          <t>Marc</t>
        </is>
      </c>
      <c r="F2" s="36" t="n"/>
      <c r="G2" s="36" t="n"/>
      <c r="H2" s="36" t="inlineStr">
        <is>
          <t>ABIERTA</t>
        </is>
      </c>
    </row>
    <row r="3">
      <c r="A3" s="36" t="inlineStr">
        <is>
          <t>Falta Paneles fábrica</t>
        </is>
      </c>
      <c r="B3" s="36" t="inlineStr">
        <is>
          <t>Fábrica</t>
        </is>
      </c>
      <c r="C3" s="36" t="inlineStr">
        <is>
          <t>REP-FPF</t>
        </is>
      </c>
      <c r="D3" s="36" t="inlineStr">
        <is>
          <t>Ángela</t>
        </is>
      </c>
      <c r="E3" s="36" t="inlineStr">
        <is>
          <t>Rafik</t>
        </is>
      </c>
      <c r="F3" s="36" t="n"/>
      <c r="G3" s="36" t="n"/>
      <c r="H3" s="36" t="inlineStr">
        <is>
          <t>CERRADA</t>
        </is>
      </c>
    </row>
    <row r="4">
      <c r="A4" s="36" t="inlineStr">
        <is>
          <t>Transporte</t>
        </is>
      </c>
      <c r="B4" s="36" t="inlineStr">
        <is>
          <t>Transporte</t>
        </is>
      </c>
      <c r="C4" s="36" t="inlineStr">
        <is>
          <t>REP-IT</t>
        </is>
      </c>
      <c r="D4" s="36" t="inlineStr">
        <is>
          <t>Diego</t>
        </is>
      </c>
      <c r="E4" s="36" t="inlineStr">
        <is>
          <t>Loliett</t>
        </is>
      </c>
      <c r="F4" s="36" t="n"/>
      <c r="G4" s="36" t="n"/>
      <c r="H4" s="36" t="inlineStr">
        <is>
          <t>REVISADA</t>
        </is>
      </c>
    </row>
    <row r="5">
      <c r="A5" s="36" t="inlineStr">
        <is>
          <t>Color - Lote - Diferencia</t>
        </is>
      </c>
      <c r="B5" s="36" t="inlineStr">
        <is>
          <t>Fábrica</t>
        </is>
      </c>
      <c r="C5" s="36" t="inlineStr">
        <is>
          <t>REP-CO</t>
        </is>
      </c>
      <c r="D5" s="36" t="inlineStr">
        <is>
          <t>Emilio</t>
        </is>
      </c>
      <c r="E5" s="36" t="inlineStr">
        <is>
          <t>Jorge F</t>
        </is>
      </c>
      <c r="F5" s="36" t="n"/>
      <c r="G5" s="36" t="n"/>
      <c r="H5" s="36" t="n"/>
    </row>
    <row r="6">
      <c r="A6" s="36" t="inlineStr">
        <is>
          <t>Pintura</t>
        </is>
      </c>
      <c r="B6" s="36" t="inlineStr">
        <is>
          <t>Fábrica</t>
        </is>
      </c>
      <c r="C6" s="36" t="inlineStr">
        <is>
          <t>REP-PI</t>
        </is>
      </c>
      <c r="D6" s="36" t="inlineStr">
        <is>
          <t>Javi López</t>
        </is>
      </c>
      <c r="E6" s="36" t="inlineStr">
        <is>
          <t>Alex B.</t>
        </is>
      </c>
      <c r="F6" s="36" t="n"/>
      <c r="G6" s="36" t="n"/>
      <c r="H6" s="36" t="n"/>
    </row>
    <row r="7">
      <c r="A7" s="36" t="inlineStr">
        <is>
          <t>Defecto por cliente</t>
        </is>
      </c>
      <c r="B7" s="36" t="inlineStr">
        <is>
          <t>Cliente</t>
        </is>
      </c>
      <c r="C7" s="36" t="inlineStr">
        <is>
          <t>REP-DC</t>
        </is>
      </c>
      <c r="D7" s="36" t="inlineStr">
        <is>
          <t>Luis</t>
        </is>
      </c>
      <c r="E7" s="36" t="inlineStr">
        <is>
          <t>Jeremy</t>
        </is>
      </c>
      <c r="F7" s="36" t="n"/>
      <c r="G7" s="36" t="n"/>
      <c r="H7" s="36" t="n"/>
    </row>
    <row r="8">
      <c r="A8" s="36" t="inlineStr">
        <is>
          <t>Error técnico</t>
        </is>
      </c>
      <c r="B8" s="36" t="inlineStr">
        <is>
          <t>Dpto. Técnico</t>
        </is>
      </c>
      <c r="C8" s="36" t="inlineStr">
        <is>
          <t>REP-ERT</t>
        </is>
      </c>
      <c r="D8" s="36" t="inlineStr">
        <is>
          <t>Marc</t>
        </is>
      </c>
      <c r="E8" s="36" t="inlineStr">
        <is>
          <t xml:space="preserve">Iciar </t>
        </is>
      </c>
      <c r="F8" s="36" t="n"/>
      <c r="G8" s="36" t="n"/>
      <c r="H8" s="36" t="n"/>
    </row>
    <row r="9">
      <c r="A9" s="36" t="inlineStr">
        <is>
          <t>Mod. Del pedido técnico</t>
        </is>
      </c>
      <c r="B9" s="36" t="inlineStr">
        <is>
          <t>Dpto. Técnico</t>
        </is>
      </c>
      <c r="C9" s="36" t="inlineStr">
        <is>
          <t>REP-MP</t>
        </is>
      </c>
      <c r="D9" s="36" t="inlineStr">
        <is>
          <t>Mónica</t>
        </is>
      </c>
      <c r="E9" s="36" t="inlineStr">
        <is>
          <t>Ivan</t>
        </is>
      </c>
      <c r="F9" s="36" t="n"/>
      <c r="G9" s="36" t="n"/>
      <c r="H9" s="36" t="n"/>
    </row>
    <row r="10">
      <c r="A10" s="36" t="inlineStr">
        <is>
          <t>Fabricación</t>
        </is>
      </c>
      <c r="B10" s="36" t="inlineStr">
        <is>
          <t>Fábrica</t>
        </is>
      </c>
      <c r="C10" s="36" t="inlineStr">
        <is>
          <t>REP-ERF</t>
        </is>
      </c>
      <c r="D10" s="36" t="inlineStr">
        <is>
          <t>Rashli</t>
        </is>
      </c>
      <c r="E10" s="36" t="inlineStr">
        <is>
          <t>Isra</t>
        </is>
      </c>
      <c r="F10" s="36" t="n"/>
      <c r="G10" s="36" t="n"/>
      <c r="H10" s="36" t="n"/>
    </row>
    <row r="11">
      <c r="A11" s="36" t="inlineStr">
        <is>
          <t>Defecto por comercial</t>
        </is>
      </c>
      <c r="B11" s="36" t="inlineStr">
        <is>
          <t>Dpto. Comercial</t>
        </is>
      </c>
      <c r="C11" s="36" t="inlineStr">
        <is>
          <t>REP-COM</t>
        </is>
      </c>
      <c r="D11" s="36" t="inlineStr">
        <is>
          <t>Roberto</t>
        </is>
      </c>
      <c r="E11" s="36" t="inlineStr">
        <is>
          <t>Richard</t>
        </is>
      </c>
      <c r="F11" s="36" t="n"/>
      <c r="G11" s="36" t="n"/>
      <c r="H11" s="36" t="n"/>
    </row>
    <row r="12">
      <c r="A12" s="36" t="inlineStr">
        <is>
          <t>Desinformación marketing</t>
        </is>
      </c>
      <c r="B12" s="36" t="inlineStr">
        <is>
          <t>Dpto. Comercial</t>
        </is>
      </c>
      <c r="C12" s="36" t="inlineStr">
        <is>
          <t>REP-MARK</t>
        </is>
      </c>
      <c r="D12" s="36" t="inlineStr">
        <is>
          <t>Sandra</t>
        </is>
      </c>
      <c r="E12" s="36" t="inlineStr">
        <is>
          <t>Sara</t>
        </is>
      </c>
      <c r="F12" s="36" t="n"/>
      <c r="G12" s="36" t="n"/>
      <c r="H12" s="36" t="n"/>
    </row>
    <row r="13">
      <c r="A13" s="36" t="inlineStr">
        <is>
          <t>Rechazo CLIENTE</t>
        </is>
      </c>
      <c r="B13" s="36" t="inlineStr">
        <is>
          <t>Cliente</t>
        </is>
      </c>
      <c r="C13" s="36" t="inlineStr">
        <is>
          <t>REP-RECLI</t>
        </is>
      </c>
      <c r="D13" s="36" t="inlineStr">
        <is>
          <t>Belén</t>
        </is>
      </c>
      <c r="E13" s="36" t="inlineStr">
        <is>
          <t>Eva</t>
        </is>
      </c>
      <c r="F13" s="36" t="n"/>
      <c r="G13" s="36" t="n"/>
      <c r="H13" s="36" t="n"/>
    </row>
    <row r="14">
      <c r="A14" s="36" t="inlineStr">
        <is>
          <t>Proveedor</t>
        </is>
      </c>
      <c r="B14" s="36" t="inlineStr">
        <is>
          <t>Fábrica</t>
        </is>
      </c>
      <c r="C14" s="36" t="inlineStr">
        <is>
          <t>REP-PRO</t>
        </is>
      </c>
      <c r="D14" s="36" t="inlineStr">
        <is>
          <t>Andrés</t>
        </is>
      </c>
      <c r="E14" s="36" t="n"/>
      <c r="F14" s="36" t="n"/>
      <c r="G14" s="36" t="n"/>
      <c r="H14" s="36" t="n"/>
    </row>
    <row r="15">
      <c r="A15" s="36" t="inlineStr">
        <is>
          <t>Defecto Materia Prima</t>
        </is>
      </c>
      <c r="B15" s="36" t="inlineStr">
        <is>
          <t>Fábrica</t>
        </is>
      </c>
      <c r="C15" s="36" t="inlineStr">
        <is>
          <t>REP-MP</t>
        </is>
      </c>
      <c r="D15" s="36" t="inlineStr">
        <is>
          <t>Sergio</t>
        </is>
      </c>
      <c r="E15" s="36" t="n"/>
      <c r="F15" s="36" t="n"/>
      <c r="G15" s="36" t="n"/>
      <c r="H15" s="36" t="n"/>
    </row>
    <row r="16">
      <c r="A16" s="36" t="inlineStr">
        <is>
          <t>Mod. Del pedido cliente</t>
        </is>
      </c>
      <c r="B16" s="36" t="inlineStr">
        <is>
          <t>Cliente</t>
        </is>
      </c>
      <c r="C16" s="36" t="inlineStr">
        <is>
          <t>REP-MPC</t>
        </is>
      </c>
      <c r="D16" s="36" t="inlineStr">
        <is>
          <t>Pablo</t>
        </is>
      </c>
      <c r="E16" s="36" t="n"/>
      <c r="F16" s="36" t="n"/>
      <c r="G16" s="36" t="n"/>
      <c r="H16" s="36" t="n"/>
    </row>
    <row r="17">
      <c r="A17" s="36" t="inlineStr">
        <is>
          <t>Varios sin ID</t>
        </is>
      </c>
      <c r="B17" s="36" t="inlineStr">
        <is>
          <t>Sin ID</t>
        </is>
      </c>
      <c r="C17" s="36" t="inlineStr">
        <is>
          <t>REPOSICION</t>
        </is>
      </c>
      <c r="D17" s="36" t="inlineStr">
        <is>
          <t>David</t>
        </is>
      </c>
      <c r="E17" s="36" t="n"/>
      <c r="F17" s="36" t="n"/>
      <c r="G17" s="36" t="n"/>
      <c r="H17" s="36" t="n"/>
    </row>
    <row r="18">
      <c r="A18" s="36" t="inlineStr">
        <is>
          <t>Varios sin ID</t>
        </is>
      </c>
      <c r="B18" s="36" t="inlineStr">
        <is>
          <t>Sin ID</t>
        </is>
      </c>
      <c r="C18" s="36" t="inlineStr">
        <is>
          <t>REP</t>
        </is>
      </c>
      <c r="D18" s="36" t="inlineStr">
        <is>
          <t>MªÁngeles</t>
        </is>
      </c>
      <c r="E18" s="36" t="n"/>
      <c r="F18" s="36" t="n"/>
      <c r="G18" s="36" t="n"/>
      <c r="H18" s="36" t="n"/>
    </row>
    <row r="19">
      <c r="A19" s="36" t="inlineStr">
        <is>
          <t>Error impresión</t>
        </is>
      </c>
      <c r="B19" s="36" t="inlineStr">
        <is>
          <t>Dep diseño</t>
        </is>
      </c>
      <c r="C19" s="36" t="inlineStr">
        <is>
          <t>REP-IMP</t>
        </is>
      </c>
      <c r="D19" s="36" t="inlineStr">
        <is>
          <t>Houda</t>
        </is>
      </c>
      <c r="E19" s="36" t="n"/>
      <c r="F19" s="36" t="n"/>
      <c r="G19" s="36" t="n"/>
      <c r="H19" s="36" t="n"/>
    </row>
    <row r="20">
      <c r="A20" s="36" t="inlineStr">
        <is>
          <t>Error estandarización</t>
        </is>
      </c>
      <c r="B20" s="36" t="inlineStr">
        <is>
          <t>Técnico y Fábrica</t>
        </is>
      </c>
      <c r="C20" s="36" t="inlineStr">
        <is>
          <t>REP-ES</t>
        </is>
      </c>
      <c r="D20" s="36" t="inlineStr">
        <is>
          <t>Andrea</t>
        </is>
      </c>
      <c r="E20" s="36" t="n"/>
      <c r="F20" s="36" t="n"/>
      <c r="G20" s="36" t="n"/>
      <c r="H20" s="36" t="n"/>
    </row>
    <row r="21">
      <c r="A21" s="36" t="inlineStr">
        <is>
          <t>Error CAD</t>
        </is>
      </c>
      <c r="B21" s="36" t="inlineStr">
        <is>
          <t>Dpto. Técnico</t>
        </is>
      </c>
      <c r="C21" s="36" t="inlineStr">
        <is>
          <t>REP-CAD</t>
        </is>
      </c>
      <c r="D21" s="36" t="n"/>
      <c r="E21" s="36" t="n"/>
      <c r="F21" s="36" t="n"/>
      <c r="G21" s="36" t="n"/>
      <c r="H21" s="36" t="n"/>
    </row>
    <row r="22">
      <c r="A22" s="36" t="inlineStr">
        <is>
          <t>Falta Paneles Técnico</t>
        </is>
      </c>
      <c r="B22" s="36" t="inlineStr">
        <is>
          <t>Dpto. Técnico</t>
        </is>
      </c>
      <c r="C22" s="36" t="inlineStr">
        <is>
          <t>REP-FPT</t>
        </is>
      </c>
      <c r="D22" s="36" t="n"/>
      <c r="E22" s="36" t="n"/>
      <c r="F22" s="36" t="n"/>
      <c r="G22" s="36" t="n"/>
      <c r="H22" s="36" t="n"/>
    </row>
    <row r="23">
      <c r="A23" s="36" t="inlineStr">
        <is>
          <t>Falta Componentes técnico</t>
        </is>
      </c>
      <c r="B23" s="36" t="inlineStr">
        <is>
          <t>Dpto. Técnico</t>
        </is>
      </c>
      <c r="C23" s="36" t="inlineStr">
        <is>
          <t>REP-FCT</t>
        </is>
      </c>
      <c r="D23" s="36" t="n"/>
      <c r="E23" s="36" t="n"/>
      <c r="F23" s="36" t="n"/>
      <c r="G23" s="36" t="n"/>
      <c r="H23" s="36" t="n"/>
    </row>
    <row r="24">
      <c r="A24" s="36" t="inlineStr">
        <is>
          <t>Error Trello técnico</t>
        </is>
      </c>
      <c r="B24" s="36" t="inlineStr">
        <is>
          <t>Dpto. Técnico</t>
        </is>
      </c>
      <c r="C24" s="36" t="inlineStr">
        <is>
          <t>REP-TTR</t>
        </is>
      </c>
      <c r="D24" s="36" t="n"/>
      <c r="E24" s="36" t="n"/>
      <c r="F24" s="36" t="n"/>
      <c r="G24" s="36" t="n"/>
      <c r="H24" s="36" t="n"/>
    </row>
    <row r="25">
      <c r="A25" s="36" t="inlineStr">
        <is>
          <t>Error en la instalación</t>
        </is>
      </c>
      <c r="B25" s="36" t="inlineStr">
        <is>
          <t>Cliente</t>
        </is>
      </c>
      <c r="C25" s="36" t="inlineStr">
        <is>
          <t>REP-INST</t>
        </is>
      </c>
      <c r="D25" s="36" t="n"/>
      <c r="E25" s="36" t="n"/>
      <c r="F25" s="36" t="n"/>
      <c r="G25" s="36" t="n"/>
      <c r="H25" s="36" t="n"/>
    </row>
    <row r="26">
      <c r="A26" s="36" t="inlineStr">
        <is>
          <t>Error catálogo</t>
        </is>
      </c>
      <c r="B26" s="36" t="inlineStr">
        <is>
          <t>Dpto. Técnico</t>
        </is>
      </c>
      <c r="C26" s="36" t="inlineStr">
        <is>
          <t>REP-CAT</t>
        </is>
      </c>
      <c r="D26" s="36" t="n"/>
      <c r="E26" s="36" t="n"/>
      <c r="F26" s="36" t="n"/>
      <c r="G26" s="36" t="n"/>
      <c r="H26" s="36" t="n"/>
    </row>
    <row r="27">
      <c r="A27" s="36" t="inlineStr">
        <is>
          <t>2 Errores TC</t>
        </is>
      </c>
      <c r="B27" s="36" t="inlineStr">
        <is>
          <t>Técnico y Comercial</t>
        </is>
      </c>
      <c r="C27" s="36" t="inlineStr">
        <is>
          <t>REP-TC</t>
        </is>
      </c>
      <c r="D27" s="36" t="n"/>
      <c r="E27" s="36" t="n"/>
      <c r="F27" s="36" t="n"/>
      <c r="G27" s="36" t="n"/>
      <c r="H27" s="36" t="n"/>
    </row>
    <row r="28">
      <c r="A28" s="36" t="inlineStr">
        <is>
          <t>2 Errores TF</t>
        </is>
      </c>
      <c r="B28" s="36" t="inlineStr">
        <is>
          <t>Técnico y Fábrica</t>
        </is>
      </c>
      <c r="C28" s="36" t="inlineStr">
        <is>
          <t>REP-TF</t>
        </is>
      </c>
      <c r="D28" s="36" t="n"/>
      <c r="E28" s="36" t="n"/>
      <c r="F28" s="36" t="n"/>
      <c r="G28" s="36" t="n"/>
      <c r="H28" s="36" t="n"/>
    </row>
    <row r="29">
      <c r="A29" s="36" t="inlineStr">
        <is>
          <t>2 Errores CF</t>
        </is>
      </c>
      <c r="B29" s="36" t="inlineStr">
        <is>
          <t>Comercial y Fábrica</t>
        </is>
      </c>
      <c r="C29" s="36" t="inlineStr">
        <is>
          <t>REP-CF</t>
        </is>
      </c>
      <c r="D29" s="36" t="n"/>
      <c r="E29" s="36" t="n"/>
      <c r="F29" s="36" t="n"/>
      <c r="G29" s="36" t="n"/>
      <c r="H29" s="36" t="n"/>
    </row>
    <row r="30">
      <c r="A30" s="36" t="inlineStr">
        <is>
          <t>2 Errores TCL</t>
        </is>
      </c>
      <c r="B30" s="36" t="inlineStr">
        <is>
          <t>Técnico y Cliente</t>
        </is>
      </c>
      <c r="C30" s="36" t="inlineStr">
        <is>
          <t>REP-TCL</t>
        </is>
      </c>
      <c r="D30" s="36" t="n"/>
      <c r="E30" s="36" t="n"/>
      <c r="F30" s="36" t="n"/>
      <c r="G30" s="36" t="n"/>
      <c r="H30" s="36" t="n"/>
    </row>
    <row r="31">
      <c r="A31" s="36" t="inlineStr">
        <is>
          <t>2 Errores FCL</t>
        </is>
      </c>
      <c r="B31" s="36" t="inlineStr">
        <is>
          <t>Fábrica Y Cliente</t>
        </is>
      </c>
      <c r="C31" s="36" t="inlineStr">
        <is>
          <t>REP-FCLI</t>
        </is>
      </c>
      <c r="D31" s="36" t="n"/>
      <c r="E31" s="36" t="n"/>
      <c r="F31" s="36" t="n"/>
      <c r="G31" s="36" t="n"/>
      <c r="H31" s="36" t="n"/>
    </row>
    <row r="32">
      <c r="A32" s="36" t="inlineStr">
        <is>
          <t>2 Errores CCL</t>
        </is>
      </c>
      <c r="B32" s="36" t="inlineStr">
        <is>
          <t>Comercial y Cliente</t>
        </is>
      </c>
      <c r="C32" s="36" t="inlineStr">
        <is>
          <t>REP-CCL</t>
        </is>
      </c>
      <c r="D32" s="36" t="n"/>
      <c r="E32" s="36" t="n"/>
      <c r="F32" s="36" t="n"/>
      <c r="G32" s="36" t="n"/>
      <c r="H32" s="36" t="n"/>
    </row>
    <row r="33">
      <c r="A33" s="36" t="inlineStr">
        <is>
          <t>2 Errores ITF</t>
        </is>
      </c>
      <c r="B33" s="36" t="inlineStr">
        <is>
          <t>Transporte y Fábrica</t>
        </is>
      </c>
      <c r="C33" s="36" t="inlineStr">
        <is>
          <t>REP-ITF</t>
        </is>
      </c>
      <c r="D33" s="36" t="n"/>
      <c r="E33" s="36" t="n"/>
      <c r="F33" s="36" t="n"/>
      <c r="G33" s="36" t="n"/>
      <c r="H33" s="36" t="n"/>
    </row>
    <row r="34">
      <c r="D34" s="36" t="n"/>
      <c r="E34" s="36" t="n"/>
      <c r="F34" s="36" t="n"/>
      <c r="G34" s="36" t="n"/>
      <c r="H34" s="36" t="n"/>
    </row>
  </sheetData>
  <pageMargins left="0.7" right="0.7" top="0.75" bottom="0.75" header="0.3" footer="0.3"/>
  <pageSetup orientation="portrait" paperSize="9"/>
  <tableParts count="1">
    <tablePart xmlns:r="http://schemas.openxmlformats.org/officeDocument/2006/relationships" r:id="rId1"/>
  </tableParts>
</worksheet>
</file>

<file path=xl/worksheets/sheet5.xml><?xml version="1.0" encoding="utf-8"?>
<worksheet xmlns="http://schemas.openxmlformats.org/spreadsheetml/2006/main">
  <sheetPr>
    <tabColor theme="5" tint="-0.499984740745262"/>
    <outlinePr summaryBelow="1" summaryRight="1"/>
    <pageSetUpPr/>
  </sheetPr>
  <dimension ref="A1:C6"/>
  <sheetViews>
    <sheetView workbookViewId="0">
      <selection activeCell="A1" sqref="A1"/>
    </sheetView>
  </sheetViews>
  <sheetFormatPr baseColWidth="10" defaultColWidth="9.140625" defaultRowHeight="15"/>
  <cols>
    <col width="34" bestFit="1" customWidth="1" min="1" max="1"/>
    <col width="68" bestFit="1" customWidth="1" min="2" max="2"/>
    <col width="66" bestFit="1" customWidth="1" min="3" max="3"/>
  </cols>
  <sheetData>
    <row r="1">
      <c r="A1" s="12" t="inlineStr">
        <is>
          <t>Categoría Causa Raiz</t>
        </is>
      </c>
      <c r="B1" s="12" t="inlineStr">
        <is>
          <t>Qué incluye</t>
        </is>
      </c>
      <c r="C1" s="13" t="inlineStr">
        <is>
          <t>Ejemplos</t>
        </is>
      </c>
    </row>
    <row r="2">
      <c r="A2" s="5" t="inlineStr">
        <is>
          <t>Error del cliente / pedido</t>
        </is>
      </c>
      <c r="B2" s="6" t="inlineStr">
        <is>
          <t>Problemas originados por información incorrecta o incompleta del cliente.</t>
        </is>
      </c>
      <c r="C2" s="6" t="inlineStr">
        <is>
          <t>Pedido erróneo, plano del cliente incorrecto.</t>
        </is>
      </c>
    </row>
    <row r="3">
      <c r="A3" s="7" t="inlineStr">
        <is>
          <t>Producción / montaje</t>
        </is>
      </c>
      <c r="B3" s="8" t="inlineStr">
        <is>
          <t>Fallos durante la fabricación, corte, montaje o manipulación.</t>
        </is>
      </c>
      <c r="C3" s="8" t="inlineStr">
        <is>
          <t>Error de corte, montaje incorrecto.</t>
        </is>
      </c>
    </row>
    <row r="4">
      <c r="A4" s="9" t="inlineStr">
        <is>
          <t>Diseño / ingeniería</t>
        </is>
      </c>
      <c r="B4" s="10" t="inlineStr">
        <is>
          <t>Defectos o errores técnicos en planos, diseños o medidas.</t>
        </is>
      </c>
      <c r="C4" s="10" t="inlineStr">
        <is>
          <t>Diseño no actualizado, medidas mal interpretadas.</t>
        </is>
      </c>
    </row>
    <row r="5">
      <c r="A5" s="7" t="inlineStr">
        <is>
          <t>Logística / materiales</t>
        </is>
      </c>
      <c r="B5" s="8" t="inlineStr">
        <is>
          <t>Problemas de materiales, envío o recepción.</t>
        </is>
      </c>
      <c r="C5" s="8" t="inlineStr">
        <is>
          <t>Material faltante, envío incompleto.</t>
        </is>
      </c>
    </row>
    <row r="6">
      <c r="A6" s="9" t="inlineStr">
        <is>
          <t>Comunicación interna / coordinación</t>
        </is>
      </c>
      <c r="B6" s="10" t="inlineStr">
        <is>
          <t>Falta de transmisión de información entre áreas.</t>
        </is>
      </c>
      <c r="C6" s="10" t="inlineStr">
        <is>
          <t>No se informó el cambio, comunicación deficiente entre técnico y taller.</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tabColor theme="5" tint="-0.499984740745262"/>
    <outlinePr summaryBelow="1" summaryRight="1"/>
    <pageSetUpPr/>
  </sheetPr>
  <dimension ref="A1:C5"/>
  <sheetViews>
    <sheetView workbookViewId="0">
      <selection activeCell="A1" sqref="A1"/>
    </sheetView>
  </sheetViews>
  <sheetFormatPr baseColWidth="10" defaultColWidth="9.140625" defaultRowHeight="15"/>
  <cols>
    <col width="32" bestFit="1" customWidth="1" min="1" max="1"/>
    <col width="44.28515625" bestFit="1" customWidth="1" min="2" max="2"/>
    <col width="64.5703125" bestFit="1" customWidth="1" min="3" max="3"/>
  </cols>
  <sheetData>
    <row r="1">
      <c r="A1" s="12" t="inlineStr">
        <is>
          <t>Categoría Accion de Contencion</t>
        </is>
      </c>
      <c r="B1" s="12" t="inlineStr">
        <is>
          <t>Qué incluye</t>
        </is>
      </c>
      <c r="C1" s="13" t="inlineStr">
        <is>
          <t>Ejemplos</t>
        </is>
      </c>
    </row>
    <row r="2">
      <c r="A2" s="5" t="inlineStr">
        <is>
          <t>Reposición / reemplazo inmediato</t>
        </is>
      </c>
      <c r="B2" s="6" t="inlineStr">
        <is>
          <t>Envío o fabricación rápida del producto correcto.</t>
        </is>
      </c>
      <c r="C2" s="6" t="inlineStr">
        <is>
          <t>Reposición al cliente, fabricación urgente de nueva pieza.</t>
        </is>
      </c>
    </row>
    <row r="3">
      <c r="A3" s="7" t="inlineStr">
        <is>
          <t>Compensación / abono</t>
        </is>
      </c>
      <c r="B3" s="8" t="inlineStr">
        <is>
          <t>Ajustes económicos para compensar al cliente.</t>
        </is>
      </c>
      <c r="C3" s="8" t="inlineStr">
        <is>
          <t>Abono al cliente, descuento comercial por error.</t>
        </is>
      </c>
    </row>
    <row r="4">
      <c r="A4" s="9" t="inlineStr">
        <is>
          <t>Revisión / verificación interna</t>
        </is>
      </c>
      <c r="B4" s="10" t="inlineStr">
        <is>
          <t>Inspecciones o controles para verificar el error.</t>
        </is>
      </c>
      <c r="C4" s="10" t="inlineStr">
        <is>
          <t>Revisión en taller, comprobación de medidas antes de envío.</t>
        </is>
      </c>
    </row>
    <row r="5">
      <c r="A5" s="7" t="inlineStr">
        <is>
          <t>Comunicación al cliente</t>
        </is>
      </c>
      <c r="B5" s="8" t="inlineStr">
        <is>
          <t>Informes o avisos para explicar el incidente.</t>
        </is>
      </c>
      <c r="C5" s="8" t="inlineStr">
        <is>
          <t>Llamada al cliente para informar incidencia, notificación de reposición.</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theme="5" tint="-0.499984740745262"/>
    <outlinePr summaryBelow="1" summaryRight="1"/>
    <pageSetUpPr/>
  </sheetPr>
  <dimension ref="A1:C6"/>
  <sheetViews>
    <sheetView workbookViewId="0">
      <selection activeCell="A1" sqref="A1"/>
    </sheetView>
  </sheetViews>
  <sheetFormatPr baseColWidth="10" defaultColWidth="9.140625" defaultRowHeight="15"/>
  <cols>
    <col width="30.5703125" bestFit="1" customWidth="1" min="1" max="1"/>
    <col width="61.140625" bestFit="1" customWidth="1" min="2" max="2"/>
    <col width="91.5703125" bestFit="1" customWidth="1" min="3" max="3"/>
  </cols>
  <sheetData>
    <row r="1">
      <c r="A1" s="12" t="inlineStr">
        <is>
          <t>Categoría Acciones Correctivas</t>
        </is>
      </c>
      <c r="B1" s="12" t="inlineStr">
        <is>
          <t>Qué incluye</t>
        </is>
      </c>
      <c r="C1" s="13" t="inlineStr">
        <is>
          <t>Ejemplos</t>
        </is>
      </c>
    </row>
    <row r="2">
      <c r="A2" s="5" t="inlineStr">
        <is>
          <t>Mejora de proceso</t>
        </is>
      </c>
      <c r="B2" s="6" t="inlineStr">
        <is>
          <t>Cambios en procedimientos, controles o flujos de trabajo.</t>
        </is>
      </c>
      <c r="C2" s="6" t="inlineStr">
        <is>
          <t>Revisar varias veces los archivos de corte, verificar montaje antes del envío.</t>
        </is>
      </c>
    </row>
    <row r="3">
      <c r="A3" s="7" t="inlineStr">
        <is>
          <t>Estandarización / documentación</t>
        </is>
      </c>
      <c r="B3" s="8" t="inlineStr">
        <is>
          <t>Creación de checklists, registros o guías de control.</t>
        </is>
      </c>
      <c r="C3" s="8" t="inlineStr">
        <is>
          <t>Crear checklist de revisión de planos, documentar pasos del proceso.</t>
        </is>
      </c>
    </row>
    <row r="4">
      <c r="A4" s="9" t="inlineStr">
        <is>
          <t>Formación / capacitación</t>
        </is>
      </c>
      <c r="B4" s="10" t="inlineStr">
        <is>
          <t>Entrenamiento o refuerzo de habilidades del personal.</t>
        </is>
      </c>
      <c r="C4" s="10" t="inlineStr">
        <is>
          <t>Capacitar al personal de taller, refrescar conocimientos de interpretación de planos.</t>
        </is>
      </c>
    </row>
    <row r="5">
      <c r="A5" s="7" t="inlineStr">
        <is>
          <t>Comunicación / coordinación</t>
        </is>
      </c>
      <c r="B5" s="8" t="inlineStr">
        <is>
          <t>Mejorar interacción entre departamentos o con clientes.</t>
        </is>
      </c>
      <c r="C5" s="8" t="inlineStr">
        <is>
          <t>Confirmar planos con el cliente antes de producción, revisar diseños con el técnico antes del pedido.</t>
        </is>
      </c>
    </row>
    <row r="6">
      <c r="A6" s="9" t="inlineStr">
        <is>
          <t>Control de calidad / auditoría</t>
        </is>
      </c>
      <c r="B6" s="10" t="inlineStr">
        <is>
          <t>Verificación sistemática o revisión cruzada antes de liberar trabajo.</t>
        </is>
      </c>
      <c r="C6" s="10" t="inlineStr">
        <is>
          <t>Inspección de calidad antes de envío, control cruzado entre técnicos.</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Miguel Ángel Cruz ECOcero</dc:creator>
  <dcterms:created xmlns:dcterms="http://purl.org/dc/terms/" xmlns:xsi="http://www.w3.org/2001/XMLSchema-instance" xsi:type="dcterms:W3CDTF">2023-10-11T14:14:45Z</dcterms:created>
  <dcterms:modified xmlns:dcterms="http://purl.org/dc/terms/" xmlns:xsi="http://www.w3.org/2001/XMLSchema-instance" xsi:type="dcterms:W3CDTF">2025-11-20T10:09:14Z</dcterms:modified>
  <cp:lastModifiedBy>Neiber Vicney ECOcero</cp:lastModifiedBy>
  <cp:lastPrinted>2025-10-13T12:12:14Z</cp:lastPrinted>
</cp:coreProperties>
</file>